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onzalezje\Downloads\"/>
    </mc:Choice>
  </mc:AlternateContent>
  <xr:revisionPtr revIDLastSave="0" documentId="13_ncr:1_{63FAF01C-4FFA-449E-8421-0D94D6979C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  <sheet name="Rul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2" i="6"/>
</calcChain>
</file>

<file path=xl/sharedStrings.xml><?xml version="1.0" encoding="utf-8"?>
<sst xmlns="http://schemas.openxmlformats.org/spreadsheetml/2006/main" count="1712" uniqueCount="63">
  <si>
    <t>Year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</si>
  <si>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</si>
  <si>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</si>
  <si>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</si>
  <si>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</si>
  <si>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</si>
  <si>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</si>
  <si>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</si>
  <si>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</si>
  <si>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</si>
  <si>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</si>
  <si>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Canada</t>
  </si>
  <si>
    <t>France</t>
  </si>
  <si>
    <t>Germany</t>
  </si>
  <si>
    <t>Mexico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</si>
  <si>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</si>
  <si>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</si>
  <si>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</si>
  <si>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</si>
  <si>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</si>
  <si>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</si>
  <si>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</si>
  <si>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</si>
  <si>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</si>
  <si>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Month Name</t>
  </si>
  <si>
    <t>Producto A</t>
  </si>
  <si>
    <t>Producto B</t>
  </si>
  <si>
    <t>Producto C</t>
  </si>
  <si>
    <t>Producto D</t>
  </si>
  <si>
    <t>Producto E</t>
  </si>
  <si>
    <t>Producto F</t>
  </si>
  <si>
    <t>Prod A</t>
  </si>
  <si>
    <t>Prod B</t>
  </si>
  <si>
    <t>Prod C</t>
  </si>
  <si>
    <t>Prod D</t>
  </si>
  <si>
    <t>Prod E</t>
  </si>
  <si>
    <t>Prod F</t>
  </si>
  <si>
    <t>Gross Sale</t>
  </si>
  <si>
    <t>Sales</t>
  </si>
  <si>
    <t>Units sold x Sales price</t>
  </si>
  <si>
    <t>Gorss Sales - Discount</t>
  </si>
  <si>
    <t>Units sold x MFG price</t>
  </si>
  <si>
    <t>Sales - COGS</t>
  </si>
  <si>
    <t>GM/Profit</t>
  </si>
  <si>
    <t xml:space="preserve"> 0 = no discuount</t>
  </si>
  <si>
    <t>1 - 10, 000 low discount</t>
  </si>
  <si>
    <t>10,001 - 50,000 medium discount</t>
  </si>
  <si>
    <t>50,001 - 100, 000 high discount</t>
  </si>
  <si>
    <t>&gt;100,000 Special discount</t>
  </si>
  <si>
    <t>ID_Sales</t>
  </si>
  <si>
    <t>Period</t>
  </si>
  <si>
    <t>Connector Folder</t>
  </si>
  <si>
    <t>Eliminar duplicados</t>
  </si>
  <si>
    <t>Crear fecha</t>
  </si>
  <si>
    <t>Eliminar Nulls</t>
  </si>
  <si>
    <t>U./S.A</t>
  </si>
  <si>
    <t xml:space="preserve">Replace </t>
  </si>
  <si>
    <t>USA replace</t>
  </si>
  <si>
    <t>DAX</t>
  </si>
  <si>
    <t>Sales, COGS, GM, Discount</t>
  </si>
  <si>
    <t>Discount band (IF)</t>
  </si>
  <si>
    <t>Schedule Delivery Date</t>
  </si>
  <si>
    <t>Actual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</si>
</sst>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5B9BD5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164" fontId="0" fillId="0" borderId="0" xfId="0" applyNumberFormat="1"/>
    <xf numFmtId="44" fontId="2" fillId="0" borderId="0" xfId="1" applyFont="1"/>
    <xf numFmtId="49" fontId="2" fillId="0" borderId="0" xfId="1" applyNumberFormat="1" applyFont="1"/>
    <xf numFmtId="0" fontId="0" fillId="0" borderId="0" xfId="0" quotePrefix="1"/>
    <xf numFmtId="0" fontId="0" fillId="0" borderId="0" xfId="1" applyNumberFormat="1" applyFont="1"/>
    <xf numFmtId="0" fontId="2" fillId="0" borderId="0" xfId="1" applyNumberFormat="1" applyFont="1"/>
    <xf numFmtId="0" fontId="0" fillId="0" borderId="0" xfId="0" applyNumberFormat="1"/>
    <xf numFmtId="14" fontId="2" fillId="0" borderId="0" xfId="1" applyNumberFormat="1" applyFont="1"/>
    <xf numFmtId="14" fontId="4" fillId="0" borderId="1" xfId="0" applyNumberFormat="1" applyFont="1" applyBorder="1"/>
  </cellXfs>
  <cellStyles count="2">
    <cellStyle name="Currency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M573" totalsRowShown="0" headerRowDxfId="10" dataDxfId="9" headerRowCellStyle="Currency" dataCellStyle="Currency">
  <sortState xmlns:xlrd2="http://schemas.microsoft.com/office/spreadsheetml/2017/richdata2" ref="A2:K573">
    <sortCondition descending="1" ref="J1:J573"/>
  </sortState>
  <tableColumns count="13">
    <tableColumn id="1" xr3:uid="{00000000-0010-0000-0000-000001000000}" name="Segment"/>
    <tableColumn id="4" xr3:uid="{2BC72A09-4F69-4923-8C0E-33D5A6E9204E}" name="ID_Sales"/>
    <tableColumn id="2" xr3:uid="{00000000-0010-0000-0000-000002000000}" name="Country"/>
    <tableColumn id="16" xr3:uid="{00000000-0010-0000-0000-000010000000}" name="Product" dataDxfId="8" dataCellStyle="Currency"/>
    <tableColumn id="10" xr3:uid="{00000000-0010-0000-0000-00000A000000}" name="Discounts" dataDxfId="7" dataCellStyle="Currency"/>
    <tableColumn id="6" xr3:uid="{00000000-0010-0000-0000-000006000000}" name="Units Sold"/>
    <tableColumn id="7" xr3:uid="{00000000-0010-0000-0000-000007000000}" name="Manufacturing Price" dataDxfId="6" dataCellStyle="Currency"/>
    <tableColumn id="8" xr3:uid="{00000000-0010-0000-0000-000008000000}" name="Sale Price" dataDxfId="5" dataCellStyle="Currency"/>
    <tableColumn id="18" xr3:uid="{00000000-0010-0000-0000-000012000000}" name="Month Name" dataDxfId="4" dataCellStyle="Currency"/>
    <tableColumn id="20" xr3:uid="{00000000-0010-0000-0000-000014000000}" name="Year" dataDxfId="0" dataCellStyle="Currency">
      <calculatedColumnFormula>YEAR(financials[[#This Row],[Schedule Delivery Date]])</calculatedColumnFormula>
    </tableColumn>
    <tableColumn id="3" xr3:uid="{613911D3-AF34-4EEF-9F24-BCBA54BAD520}" name="Period" dataDxfId="3" dataCellStyle="Currency"/>
    <tableColumn id="5" xr3:uid="{DECD4BD7-6E03-4B25-8E7E-44D0B9F1D0D1}" name="Schedule Delivery Date" dataDxfId="2" dataCellStyle="Currency"/>
    <tableColumn id="9" xr3:uid="{08E2DF48-CFAB-4F0D-BC9E-2A02CD662B77}" name="Actual Delivery Date" dataDxfId="1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3"/>
  <sheetViews>
    <sheetView tabSelected="1" zoomScale="85" zoomScaleNormal="85" workbookViewId="0">
      <selection activeCell="I16" sqref="I16"/>
    </sheetView>
  </sheetViews>
  <sheetFormatPr defaultRowHeight="15" x14ac:dyDescent="0.25"/>
  <cols>
    <col min="1" max="1" width="16.28515625" bestFit="1" customWidth="1"/>
    <col min="2" max="2" width="16.28515625" customWidth="1"/>
    <col min="3" max="3" width="26.5703125" customWidth="1"/>
    <col min="4" max="4" width="14.140625" style="2" bestFit="1" customWidth="1"/>
    <col min="5" max="5" width="13.42578125" style="1" bestFit="1" customWidth="1"/>
    <col min="6" max="6" width="14.28515625" style="1" customWidth="1"/>
    <col min="7" max="7" width="23.28515625" style="1" bestFit="1" customWidth="1"/>
    <col min="8" max="8" width="12.5703125" style="1" bestFit="1" customWidth="1"/>
    <col min="9" max="9" width="18.42578125" bestFit="1" customWidth="1"/>
    <col min="10" max="10" width="16.5703125" bestFit="1" customWidth="1"/>
    <col min="11" max="11" width="14" style="8" bestFit="1" customWidth="1"/>
    <col min="12" max="12" width="25.7109375" bestFit="1" customWidth="1"/>
    <col min="13" max="13" width="23" bestFit="1" customWidth="1"/>
  </cols>
  <sheetData>
    <row r="1" spans="1:13" x14ac:dyDescent="0.25">
      <c r="A1" t="s">
        <v>5</v>
      </c>
      <c r="B1" t="s">
        <v>49</v>
      </c>
      <c r="C1" t="s">
        <v>16</v>
      </c>
      <c r="D1" s="3" t="s">
        <v>17</v>
      </c>
      <c r="E1" s="1" t="s">
        <v>1</v>
      </c>
      <c r="F1" t="s">
        <v>3</v>
      </c>
      <c r="G1" s="1" t="s">
        <v>4</v>
      </c>
      <c r="H1" s="1" t="s">
        <v>15</v>
      </c>
      <c r="I1" s="3" t="s">
        <v>24</v>
      </c>
      <c r="J1" s="4" t="s">
        <v>0</v>
      </c>
      <c r="K1" s="6" t="s">
        <v>50</v>
      </c>
      <c r="L1" s="1" t="s">
        <v>61</v>
      </c>
      <c r="M1" s="3" t="s">
        <v>62</v>
      </c>
    </row>
    <row r="2" spans="1:13" x14ac:dyDescent="0.25">
      <c r="A2" t="s">
        <v>9</v>
      </c>
      <c r="B2">
        <v>176</v>
      </c>
      <c r="C2" t="s">
        <v>11</v>
      </c>
      <c r="D2" s="3" t="s">
        <v>31</v>
      </c>
      <c r="E2" s="1">
        <v>0</v>
      </c>
      <c r="F2">
        <v>1618.5</v>
      </c>
      <c r="G2" s="1">
        <v>3</v>
      </c>
      <c r="H2" s="1">
        <v>20</v>
      </c>
      <c r="I2" s="3" t="str">
        <f>TEXT(financials[[#This Row],[Schedule Delivery Date]],"mmmm")</f>
        <v>January</v>
      </c>
      <c r="J2">
        <f>YEAR(financials[[#This Row],[Schedule Delivery Date]])</f>
        <v>2026</v>
      </c>
      <c r="K2" s="7">
        <v>1</v>
      </c>
      <c r="L2" s="9">
        <v>46037</v>
      </c>
      <c r="M2" s="9">
        <v>46036</v>
      </c>
    </row>
    <row r="3" spans="1:13" x14ac:dyDescent="0.25">
      <c r="A3" t="s">
        <v>9</v>
      </c>
      <c r="B3">
        <v>177</v>
      </c>
      <c r="C3" t="s">
        <v>13</v>
      </c>
      <c r="D3" s="3" t="s">
        <v>31</v>
      </c>
      <c r="E3" s="1">
        <v>0</v>
      </c>
      <c r="F3">
        <v>1321</v>
      </c>
      <c r="G3" s="1">
        <v>3</v>
      </c>
      <c r="H3" s="1">
        <v>20</v>
      </c>
      <c r="I3" s="3" t="str">
        <f>TEXT(financials[[#This Row],[Schedule Delivery Date]],"mmmm")</f>
        <v>January</v>
      </c>
      <c r="J3">
        <f>YEAR(financials[[#This Row],[Schedule Delivery Date]])</f>
        <v>2026</v>
      </c>
      <c r="K3" s="7">
        <v>1</v>
      </c>
      <c r="L3" s="9">
        <v>46036</v>
      </c>
      <c r="M3" s="9">
        <v>46035</v>
      </c>
    </row>
    <row r="4" spans="1:13" x14ac:dyDescent="0.25">
      <c r="A4" t="s">
        <v>9</v>
      </c>
      <c r="B4">
        <v>178</v>
      </c>
      <c r="C4" t="s">
        <v>14</v>
      </c>
      <c r="D4" s="3" t="s">
        <v>34</v>
      </c>
      <c r="E4" s="1">
        <v>0</v>
      </c>
      <c r="F4">
        <v>1493</v>
      </c>
      <c r="G4" s="1">
        <v>120</v>
      </c>
      <c r="H4" s="1">
        <v>7</v>
      </c>
      <c r="I4" s="3" t="str">
        <f>TEXT(financials[[#This Row],[Schedule Delivery Date]],"mmmm")</f>
        <v>January</v>
      </c>
      <c r="J4">
        <f>YEAR(financials[[#This Row],[Schedule Delivery Date]])</f>
        <v>2026</v>
      </c>
      <c r="K4" s="7">
        <v>1</v>
      </c>
      <c r="L4" s="9">
        <v>46026</v>
      </c>
      <c r="M4" s="9">
        <v>46026</v>
      </c>
    </row>
    <row r="5" spans="1:13" x14ac:dyDescent="0.25">
      <c r="A5" t="s">
        <v>9</v>
      </c>
      <c r="B5">
        <v>179</v>
      </c>
      <c r="C5" t="s">
        <v>12</v>
      </c>
      <c r="D5" s="3" t="s">
        <v>33</v>
      </c>
      <c r="E5" s="1">
        <v>276.14999999999998</v>
      </c>
      <c r="F5">
        <v>3945</v>
      </c>
      <c r="G5" s="1">
        <v>10</v>
      </c>
      <c r="H5" s="1">
        <v>7</v>
      </c>
      <c r="I5" s="3" t="str">
        <f>TEXT(financials[[#This Row],[Schedule Delivery Date]],"mmmm")</f>
        <v>January</v>
      </c>
      <c r="J5">
        <f>YEAR(financials[[#This Row],[Schedule Delivery Date]])</f>
        <v>2026</v>
      </c>
      <c r="K5" s="7">
        <v>1</v>
      </c>
      <c r="L5" s="9">
        <v>46027</v>
      </c>
      <c r="M5" s="9">
        <v>46027</v>
      </c>
    </row>
    <row r="6" spans="1:13" x14ac:dyDescent="0.25">
      <c r="A6" t="s">
        <v>7</v>
      </c>
      <c r="B6">
        <v>180</v>
      </c>
      <c r="C6" t="s">
        <v>55</v>
      </c>
      <c r="D6" s="3" t="s">
        <v>34</v>
      </c>
      <c r="E6" s="1">
        <v>416.25</v>
      </c>
      <c r="F6">
        <v>555</v>
      </c>
      <c r="G6" s="1">
        <v>120</v>
      </c>
      <c r="H6" s="1">
        <v>15</v>
      </c>
      <c r="I6" s="3" t="str">
        <f>TEXT(financials[[#This Row],[Schedule Delivery Date]],"mmmm")</f>
        <v>January</v>
      </c>
      <c r="J6">
        <f>YEAR(financials[[#This Row],[Schedule Delivery Date]])</f>
        <v>2026</v>
      </c>
      <c r="K6" s="7">
        <v>1</v>
      </c>
      <c r="L6" s="9">
        <v>46024</v>
      </c>
      <c r="M6" s="9">
        <v>46024</v>
      </c>
    </row>
    <row r="7" spans="1:13" x14ac:dyDescent="0.25">
      <c r="A7" t="s">
        <v>9</v>
      </c>
      <c r="B7">
        <v>181</v>
      </c>
      <c r="C7" t="s">
        <v>13</v>
      </c>
      <c r="D7" s="3" t="s">
        <v>33</v>
      </c>
      <c r="E7" s="1">
        <v>480.2</v>
      </c>
      <c r="F7">
        <v>1372</v>
      </c>
      <c r="G7" s="1">
        <v>10</v>
      </c>
      <c r="H7" s="1">
        <v>7</v>
      </c>
      <c r="I7" s="3" t="str">
        <f>TEXT(financials[[#This Row],[Schedule Delivery Date]],"mmmm")</f>
        <v>January</v>
      </c>
      <c r="J7">
        <f>YEAR(financials[[#This Row],[Schedule Delivery Date]])</f>
        <v>2026</v>
      </c>
      <c r="K7" s="7">
        <v>1</v>
      </c>
      <c r="L7" s="9">
        <v>46025</v>
      </c>
      <c r="M7" s="9">
        <v>46024</v>
      </c>
    </row>
    <row r="8" spans="1:13" x14ac:dyDescent="0.25">
      <c r="A8" t="s">
        <v>7</v>
      </c>
      <c r="B8">
        <v>182</v>
      </c>
      <c r="C8" t="s">
        <v>11</v>
      </c>
      <c r="D8" s="3" t="s">
        <v>34</v>
      </c>
      <c r="E8" s="1">
        <v>633.59999999999991</v>
      </c>
      <c r="F8">
        <v>384</v>
      </c>
      <c r="G8" s="1">
        <v>120</v>
      </c>
      <c r="H8" s="1">
        <v>15</v>
      </c>
      <c r="I8" s="3" t="str">
        <f>TEXT(financials[[#This Row],[Schedule Delivery Date]],"mmmm")</f>
        <v>January</v>
      </c>
      <c r="J8">
        <f>YEAR(financials[[#This Row],[Schedule Delivery Date]])</f>
        <v>2026</v>
      </c>
      <c r="K8" s="7">
        <v>1</v>
      </c>
      <c r="L8" s="9">
        <v>46025</v>
      </c>
      <c r="M8" s="9">
        <v>46025</v>
      </c>
    </row>
    <row r="9" spans="1:13" x14ac:dyDescent="0.25">
      <c r="A9" t="s">
        <v>10</v>
      </c>
      <c r="B9">
        <v>183</v>
      </c>
      <c r="C9" t="s">
        <v>13</v>
      </c>
      <c r="D9" s="3" t="s">
        <v>35</v>
      </c>
      <c r="E9" s="1">
        <v>892.44</v>
      </c>
      <c r="F9">
        <v>2479</v>
      </c>
      <c r="G9" s="1">
        <v>250</v>
      </c>
      <c r="H9" s="1">
        <v>12</v>
      </c>
      <c r="I9" s="3" t="str">
        <f>TEXT(financials[[#This Row],[Schedule Delivery Date]],"mmmm")</f>
        <v>January</v>
      </c>
      <c r="J9">
        <f>YEAR(financials[[#This Row],[Schedule Delivery Date]])</f>
        <v>2026</v>
      </c>
      <c r="K9" s="7">
        <v>1</v>
      </c>
      <c r="L9" s="9">
        <v>46025</v>
      </c>
      <c r="M9" s="9">
        <v>46024</v>
      </c>
    </row>
    <row r="10" spans="1:13" x14ac:dyDescent="0.25">
      <c r="A10" t="s">
        <v>7</v>
      </c>
      <c r="B10">
        <v>184</v>
      </c>
      <c r="C10" t="s">
        <v>13</v>
      </c>
      <c r="D10" s="3" t="s">
        <v>34</v>
      </c>
      <c r="E10" s="1">
        <v>1021.5</v>
      </c>
      <c r="F10">
        <v>681</v>
      </c>
      <c r="G10" s="1">
        <v>120</v>
      </c>
      <c r="H10" s="1">
        <v>15</v>
      </c>
      <c r="I10" s="3" t="str">
        <f>TEXT(financials[[#This Row],[Schedule Delivery Date]],"mmmm")</f>
        <v>January</v>
      </c>
      <c r="J10">
        <f>YEAR(financials[[#This Row],[Schedule Delivery Date]])</f>
        <v>2026</v>
      </c>
      <c r="K10" s="7">
        <v>1</v>
      </c>
      <c r="L10" s="9">
        <v>46023</v>
      </c>
      <c r="M10" s="9">
        <v>46025</v>
      </c>
    </row>
    <row r="11" spans="1:13" x14ac:dyDescent="0.25">
      <c r="A11" t="s">
        <v>9</v>
      </c>
      <c r="B11">
        <v>185</v>
      </c>
      <c r="C11" t="s">
        <v>11</v>
      </c>
      <c r="D11" s="3" t="s">
        <v>33</v>
      </c>
      <c r="E11" s="1">
        <v>1190.28</v>
      </c>
      <c r="F11">
        <v>4251</v>
      </c>
      <c r="G11" s="1">
        <v>10</v>
      </c>
      <c r="H11" s="1">
        <v>7</v>
      </c>
      <c r="I11" s="3" t="str">
        <f>TEXT(financials[[#This Row],[Schedule Delivery Date]],"mmmm")</f>
        <v>January</v>
      </c>
      <c r="J11">
        <f>YEAR(financials[[#This Row],[Schedule Delivery Date]])</f>
        <v>2026</v>
      </c>
      <c r="K11" s="7">
        <v>1</v>
      </c>
      <c r="L11" s="9">
        <v>46025</v>
      </c>
      <c r="M11" s="9">
        <v>46025</v>
      </c>
    </row>
    <row r="12" spans="1:13" x14ac:dyDescent="0.25">
      <c r="A12" t="s">
        <v>9</v>
      </c>
      <c r="B12">
        <v>186</v>
      </c>
      <c r="C12" t="s">
        <v>55</v>
      </c>
      <c r="D12" s="3" t="s">
        <v>33</v>
      </c>
      <c r="E12" s="1">
        <v>1309.0350000000001</v>
      </c>
      <c r="F12">
        <v>1438.5</v>
      </c>
      <c r="G12" s="1">
        <v>10</v>
      </c>
      <c r="H12" s="1">
        <v>7</v>
      </c>
      <c r="I12" s="3" t="str">
        <f>TEXT(financials[[#This Row],[Schedule Delivery Date]],"mmmm")</f>
        <v>January</v>
      </c>
      <c r="J12">
        <f>YEAR(financials[[#This Row],[Schedule Delivery Date]])</f>
        <v>2026</v>
      </c>
      <c r="K12" s="7">
        <v>1</v>
      </c>
      <c r="L12" s="9">
        <v>46023</v>
      </c>
      <c r="M12" s="9">
        <v>46025</v>
      </c>
    </row>
    <row r="13" spans="1:13" x14ac:dyDescent="0.25">
      <c r="A13" t="s">
        <v>9</v>
      </c>
      <c r="B13">
        <v>187</v>
      </c>
      <c r="C13" t="s">
        <v>55</v>
      </c>
      <c r="D13" s="3" t="s">
        <v>31</v>
      </c>
      <c r="E13" s="1">
        <v>1341</v>
      </c>
      <c r="F13">
        <v>1117.5</v>
      </c>
      <c r="G13" s="1">
        <v>3</v>
      </c>
      <c r="H13" s="1">
        <v>20</v>
      </c>
      <c r="I13" s="3" t="str">
        <f>TEXT(financials[[#This Row],[Schedule Delivery Date]],"mmmm")</f>
        <v>January</v>
      </c>
      <c r="J13">
        <f>YEAR(financials[[#This Row],[Schedule Delivery Date]])</f>
        <v>2026</v>
      </c>
      <c r="K13" s="7">
        <v>1</v>
      </c>
      <c r="L13" s="9">
        <v>46025</v>
      </c>
      <c r="M13" s="9">
        <v>46025</v>
      </c>
    </row>
    <row r="14" spans="1:13" x14ac:dyDescent="0.25">
      <c r="A14" t="s">
        <v>10</v>
      </c>
      <c r="B14">
        <v>188</v>
      </c>
      <c r="C14" t="s">
        <v>14</v>
      </c>
      <c r="D14" s="3" t="s">
        <v>32</v>
      </c>
      <c r="E14" s="1">
        <v>1965.6</v>
      </c>
      <c r="F14">
        <v>2340</v>
      </c>
      <c r="G14" s="1">
        <v>5</v>
      </c>
      <c r="H14" s="1">
        <v>12</v>
      </c>
      <c r="I14" s="3" t="str">
        <f>TEXT(financials[[#This Row],[Schedule Delivery Date]],"mmmm")</f>
        <v>January</v>
      </c>
      <c r="J14">
        <f>YEAR(financials[[#This Row],[Schedule Delivery Date]])</f>
        <v>2026</v>
      </c>
      <c r="K14" s="7">
        <v>1</v>
      </c>
      <c r="L14" s="9">
        <v>46040</v>
      </c>
      <c r="M14" s="9">
        <v>46034</v>
      </c>
    </row>
    <row r="15" spans="1:13" x14ac:dyDescent="0.25">
      <c r="A15" t="s">
        <v>10</v>
      </c>
      <c r="B15">
        <v>189</v>
      </c>
      <c r="C15" t="s">
        <v>55</v>
      </c>
      <c r="D15" s="3" t="s">
        <v>35</v>
      </c>
      <c r="E15" s="1">
        <v>2112.48</v>
      </c>
      <c r="F15">
        <v>1956</v>
      </c>
      <c r="G15" s="1">
        <v>250</v>
      </c>
      <c r="H15" s="1">
        <v>12</v>
      </c>
      <c r="I15" s="3" t="str">
        <f>TEXT(financials[[#This Row],[Schedule Delivery Date]],"mmmm")</f>
        <v>December</v>
      </c>
      <c r="J15">
        <f>YEAR(financials[[#This Row],[Schedule Delivery Date]])</f>
        <v>2025</v>
      </c>
      <c r="K15" s="7">
        <v>1</v>
      </c>
      <c r="L15" s="9">
        <v>46020</v>
      </c>
      <c r="M15" s="9">
        <v>46024</v>
      </c>
    </row>
    <row r="16" spans="1:13" x14ac:dyDescent="0.25">
      <c r="A16" t="s">
        <v>7</v>
      </c>
      <c r="B16">
        <v>190</v>
      </c>
      <c r="C16" t="s">
        <v>14</v>
      </c>
      <c r="D16" s="3" t="s">
        <v>34</v>
      </c>
      <c r="E16" s="1">
        <v>2145.75</v>
      </c>
      <c r="F16">
        <v>2861</v>
      </c>
      <c r="G16" s="1">
        <v>120</v>
      </c>
      <c r="H16" s="1">
        <v>15</v>
      </c>
      <c r="I16" s="3" t="str">
        <f>TEXT(financials[[#This Row],[Schedule Delivery Date]],"mmmm")</f>
        <v>December</v>
      </c>
      <c r="J16">
        <f>YEAR(financials[[#This Row],[Schedule Delivery Date]])</f>
        <v>2025</v>
      </c>
      <c r="K16" s="7">
        <v>1</v>
      </c>
      <c r="L16" s="9">
        <v>46021</v>
      </c>
      <c r="M16" s="9">
        <v>46029</v>
      </c>
    </row>
    <row r="17" spans="1:13" x14ac:dyDescent="0.25">
      <c r="A17" t="s">
        <v>10</v>
      </c>
      <c r="B17">
        <v>191</v>
      </c>
      <c r="C17" t="s">
        <v>12</v>
      </c>
      <c r="D17" s="3" t="s">
        <v>35</v>
      </c>
      <c r="E17" s="1">
        <v>2288.88</v>
      </c>
      <c r="F17">
        <v>1734</v>
      </c>
      <c r="G17" s="1">
        <v>250</v>
      </c>
      <c r="H17" s="1">
        <v>12</v>
      </c>
      <c r="I17" s="3" t="str">
        <f>TEXT(financials[[#This Row],[Schedule Delivery Date]],"mmmm")</f>
        <v>December</v>
      </c>
      <c r="J17">
        <f>YEAR(financials[[#This Row],[Schedule Delivery Date]])</f>
        <v>2025</v>
      </c>
      <c r="K17" s="7">
        <v>1</v>
      </c>
      <c r="L17" s="9">
        <v>46021</v>
      </c>
      <c r="M17" s="9">
        <v>46028</v>
      </c>
    </row>
    <row r="18" spans="1:13" x14ac:dyDescent="0.25">
      <c r="A18" t="s">
        <v>10</v>
      </c>
      <c r="B18">
        <v>192</v>
      </c>
      <c r="C18" t="s">
        <v>11</v>
      </c>
      <c r="D18" s="3" t="s">
        <v>35</v>
      </c>
      <c r="E18" s="1">
        <v>2725.38</v>
      </c>
      <c r="F18">
        <v>3244.5</v>
      </c>
      <c r="G18" s="1">
        <v>250</v>
      </c>
      <c r="H18" s="1">
        <v>12</v>
      </c>
      <c r="I18" s="3" t="str">
        <f>TEXT(financials[[#This Row],[Schedule Delivery Date]],"mmmm")</f>
        <v>December</v>
      </c>
      <c r="J18">
        <f>YEAR(financials[[#This Row],[Schedule Delivery Date]])</f>
        <v>2025</v>
      </c>
      <c r="K18" s="7">
        <v>1</v>
      </c>
      <c r="L18" s="9">
        <v>46021</v>
      </c>
      <c r="M18" s="9">
        <v>46030</v>
      </c>
    </row>
    <row r="19" spans="1:13" x14ac:dyDescent="0.25">
      <c r="A19" t="s">
        <v>9</v>
      </c>
      <c r="B19">
        <v>193</v>
      </c>
      <c r="C19" t="s">
        <v>14</v>
      </c>
      <c r="D19" s="3" t="s">
        <v>36</v>
      </c>
      <c r="E19" s="1">
        <v>5783.8</v>
      </c>
      <c r="F19">
        <v>2629</v>
      </c>
      <c r="G19" s="1">
        <v>260</v>
      </c>
      <c r="H19" s="1">
        <v>20</v>
      </c>
      <c r="I19" s="3" t="str">
        <f>TEXT(financials[[#This Row],[Schedule Delivery Date]],"mmmm")</f>
        <v>January</v>
      </c>
      <c r="J19">
        <f>YEAR(financials[[#This Row],[Schedule Delivery Date]])</f>
        <v>2026</v>
      </c>
      <c r="K19" s="7">
        <v>1</v>
      </c>
      <c r="L19" s="9">
        <v>46031</v>
      </c>
      <c r="M19" s="9">
        <v>46031</v>
      </c>
    </row>
    <row r="20" spans="1:13" x14ac:dyDescent="0.25">
      <c r="A20" t="s">
        <v>9</v>
      </c>
      <c r="B20">
        <v>194</v>
      </c>
      <c r="C20" t="s">
        <v>12</v>
      </c>
      <c r="D20" s="3" t="s">
        <v>31</v>
      </c>
      <c r="E20" s="1">
        <v>6051.6</v>
      </c>
      <c r="F20">
        <v>2521.5</v>
      </c>
      <c r="G20" s="1">
        <v>3</v>
      </c>
      <c r="H20" s="1">
        <v>20</v>
      </c>
      <c r="I20" s="3" t="str">
        <f>TEXT(financials[[#This Row],[Schedule Delivery Date]],"mmmm")</f>
        <v>January</v>
      </c>
      <c r="J20">
        <f>YEAR(financials[[#This Row],[Schedule Delivery Date]])</f>
        <v>2026</v>
      </c>
      <c r="K20" s="7">
        <v>1</v>
      </c>
      <c r="L20" s="9">
        <v>46032</v>
      </c>
      <c r="M20" s="9">
        <v>46032</v>
      </c>
    </row>
    <row r="21" spans="1:13" x14ac:dyDescent="0.25">
      <c r="A21" t="s">
        <v>8</v>
      </c>
      <c r="B21">
        <v>195</v>
      </c>
      <c r="C21" t="s">
        <v>55</v>
      </c>
      <c r="D21" s="3" t="s">
        <v>36</v>
      </c>
      <c r="E21" s="1">
        <v>7237.5</v>
      </c>
      <c r="F21">
        <v>579</v>
      </c>
      <c r="G21" s="1">
        <v>260</v>
      </c>
      <c r="H21" s="1">
        <v>125</v>
      </c>
      <c r="I21" s="3" t="str">
        <f>TEXT(financials[[#This Row],[Schedule Delivery Date]],"mmmm")</f>
        <v>December</v>
      </c>
      <c r="J21">
        <f>YEAR(financials[[#This Row],[Schedule Delivery Date]])</f>
        <v>2025</v>
      </c>
      <c r="K21" s="7">
        <v>1</v>
      </c>
      <c r="L21" s="9">
        <v>46021</v>
      </c>
      <c r="M21" s="9">
        <v>46028</v>
      </c>
    </row>
    <row r="22" spans="1:13" x14ac:dyDescent="0.25">
      <c r="A22" t="s">
        <v>8</v>
      </c>
      <c r="B22">
        <v>196</v>
      </c>
      <c r="C22" t="s">
        <v>14</v>
      </c>
      <c r="D22" s="3" t="s">
        <v>35</v>
      </c>
      <c r="E22" s="1">
        <v>7617.5</v>
      </c>
      <c r="F22">
        <v>554</v>
      </c>
      <c r="G22" s="1">
        <v>250</v>
      </c>
      <c r="H22" s="1">
        <v>125</v>
      </c>
      <c r="I22" s="3" t="str">
        <f>TEXT(financials[[#This Row],[Schedule Delivery Date]],"mmmm")</f>
        <v>December</v>
      </c>
      <c r="J22">
        <f>YEAR(financials[[#This Row],[Schedule Delivery Date]])</f>
        <v>2025</v>
      </c>
      <c r="K22" s="7">
        <v>1</v>
      </c>
      <c r="L22" s="9">
        <v>46021</v>
      </c>
      <c r="M22" s="9">
        <v>46030</v>
      </c>
    </row>
    <row r="23" spans="1:13" x14ac:dyDescent="0.25">
      <c r="A23" t="s">
        <v>7</v>
      </c>
      <c r="B23">
        <v>197</v>
      </c>
      <c r="C23" t="s">
        <v>12</v>
      </c>
      <c r="D23" s="3" t="s">
        <v>34</v>
      </c>
      <c r="E23" s="1">
        <v>7795.125</v>
      </c>
      <c r="F23">
        <v>3997.5</v>
      </c>
      <c r="G23" s="1">
        <v>120</v>
      </c>
      <c r="H23" s="1">
        <v>15</v>
      </c>
      <c r="I23" s="3" t="str">
        <f>TEXT(financials[[#This Row],[Schedule Delivery Date]],"mmmm")</f>
        <v>March</v>
      </c>
      <c r="J23">
        <f>YEAR(financials[[#This Row],[Schedule Delivery Date]])</f>
        <v>2026</v>
      </c>
      <c r="K23" s="7">
        <v>1</v>
      </c>
      <c r="L23" s="10">
        <v>46095</v>
      </c>
      <c r="M23" s="10">
        <v>46095</v>
      </c>
    </row>
    <row r="24" spans="1:13" x14ac:dyDescent="0.25">
      <c r="A24" t="s">
        <v>8</v>
      </c>
      <c r="B24">
        <v>198</v>
      </c>
      <c r="C24" t="s">
        <v>12</v>
      </c>
      <c r="D24" s="3" t="s">
        <v>36</v>
      </c>
      <c r="E24" s="1">
        <v>14906.25</v>
      </c>
      <c r="F24">
        <v>1987.5</v>
      </c>
      <c r="G24" s="1">
        <v>260</v>
      </c>
      <c r="H24" s="1">
        <v>125</v>
      </c>
      <c r="I24" s="3" t="str">
        <f>TEXT(financials[[#This Row],[Schedule Delivery Date]],"mmmm")</f>
        <v>January</v>
      </c>
      <c r="J24">
        <f>YEAR(financials[[#This Row],[Schedule Delivery Date]])</f>
        <v>2026</v>
      </c>
      <c r="K24" s="7">
        <v>1</v>
      </c>
      <c r="L24" s="9">
        <v>46030</v>
      </c>
      <c r="M24" s="9">
        <v>46030</v>
      </c>
    </row>
    <row r="25" spans="1:13" x14ac:dyDescent="0.25">
      <c r="A25" t="s">
        <v>6</v>
      </c>
      <c r="B25">
        <v>199</v>
      </c>
      <c r="C25" t="s">
        <v>12</v>
      </c>
      <c r="D25" s="3" t="s">
        <v>33</v>
      </c>
      <c r="E25" s="1">
        <v>21910.5</v>
      </c>
      <c r="F25">
        <v>2434.5</v>
      </c>
      <c r="G25" s="1">
        <v>10</v>
      </c>
      <c r="H25" s="1">
        <v>300</v>
      </c>
      <c r="I25" s="3" t="str">
        <f>TEXT(financials[[#This Row],[Schedule Delivery Date]],"mmmm")</f>
        <v>March</v>
      </c>
      <c r="J25">
        <f>YEAR(financials[[#This Row],[Schedule Delivery Date]])</f>
        <v>2026</v>
      </c>
      <c r="K25" s="7">
        <v>1</v>
      </c>
      <c r="L25" s="10">
        <v>46095</v>
      </c>
      <c r="M25" s="9"/>
    </row>
    <row r="26" spans="1:13" x14ac:dyDescent="0.25">
      <c r="A26" t="s">
        <v>9</v>
      </c>
      <c r="B26">
        <v>200</v>
      </c>
      <c r="C26" t="s">
        <v>12</v>
      </c>
      <c r="D26" s="3" t="s">
        <v>32</v>
      </c>
      <c r="E26" s="1">
        <v>24228.75</v>
      </c>
      <c r="F26">
        <v>1384.5</v>
      </c>
      <c r="G26" s="1">
        <v>5</v>
      </c>
      <c r="H26" s="1">
        <v>350</v>
      </c>
      <c r="I26" s="3" t="str">
        <f>TEXT(financials[[#This Row],[Schedule Delivery Date]],"mmmm")</f>
        <v>March</v>
      </c>
      <c r="J26">
        <f>YEAR(financials[[#This Row],[Schedule Delivery Date]])</f>
        <v>2026</v>
      </c>
      <c r="K26" s="7">
        <v>1</v>
      </c>
      <c r="L26" s="10">
        <v>46095</v>
      </c>
      <c r="M26" s="9"/>
    </row>
    <row r="27" spans="1:13" x14ac:dyDescent="0.25">
      <c r="A27" t="s">
        <v>8</v>
      </c>
      <c r="B27">
        <v>201</v>
      </c>
      <c r="C27" t="s">
        <v>11</v>
      </c>
      <c r="D27" s="3" t="s">
        <v>36</v>
      </c>
      <c r="E27" s="1">
        <v>26958.75</v>
      </c>
      <c r="F27">
        <v>1659</v>
      </c>
      <c r="G27" s="1">
        <v>260</v>
      </c>
      <c r="H27" s="1">
        <v>125</v>
      </c>
      <c r="I27" s="3" t="str">
        <f>TEXT(financials[[#This Row],[Schedule Delivery Date]],"mmmm")</f>
        <v>March</v>
      </c>
      <c r="J27">
        <f>YEAR(financials[[#This Row],[Schedule Delivery Date]])</f>
        <v>2026</v>
      </c>
      <c r="K27" s="7">
        <v>1</v>
      </c>
      <c r="L27" s="10">
        <v>46095</v>
      </c>
      <c r="M27" s="10">
        <v>46095</v>
      </c>
    </row>
    <row r="28" spans="1:13" x14ac:dyDescent="0.25">
      <c r="A28" t="s">
        <v>6</v>
      </c>
      <c r="B28">
        <v>202</v>
      </c>
      <c r="C28" t="s">
        <v>11</v>
      </c>
      <c r="D28" s="3" t="s">
        <v>33</v>
      </c>
      <c r="E28" s="1">
        <v>28809</v>
      </c>
      <c r="F28">
        <v>873</v>
      </c>
      <c r="G28" s="1">
        <v>10</v>
      </c>
      <c r="H28" s="1">
        <v>300</v>
      </c>
      <c r="I28" s="3" t="str">
        <f>TEXT(financials[[#This Row],[Schedule Delivery Date]],"mmmm")</f>
        <v>March</v>
      </c>
      <c r="J28">
        <f>YEAR(financials[[#This Row],[Schedule Delivery Date]])</f>
        <v>2026</v>
      </c>
      <c r="K28" s="7">
        <v>1</v>
      </c>
      <c r="L28" s="10">
        <v>46095</v>
      </c>
      <c r="M28" s="10">
        <v>46091</v>
      </c>
    </row>
    <row r="29" spans="1:13" x14ac:dyDescent="0.25">
      <c r="A29" t="s">
        <v>9</v>
      </c>
      <c r="B29">
        <v>203</v>
      </c>
      <c r="C29" t="s">
        <v>13</v>
      </c>
      <c r="D29" s="3" t="s">
        <v>32</v>
      </c>
      <c r="E29" s="1">
        <v>29491</v>
      </c>
      <c r="F29">
        <v>766</v>
      </c>
      <c r="G29" s="1">
        <v>5</v>
      </c>
      <c r="H29" s="1">
        <v>350</v>
      </c>
      <c r="I29" s="3" t="str">
        <f>TEXT(financials[[#This Row],[Schedule Delivery Date]],"mmmm")</f>
        <v>March</v>
      </c>
      <c r="J29">
        <f>YEAR(financials[[#This Row],[Schedule Delivery Date]])</f>
        <v>2026</v>
      </c>
      <c r="K29" s="7">
        <v>1</v>
      </c>
      <c r="L29" s="10">
        <v>46095</v>
      </c>
      <c r="M29" s="9">
        <v>46089</v>
      </c>
    </row>
    <row r="30" spans="1:13" x14ac:dyDescent="0.25">
      <c r="A30" t="s">
        <v>6</v>
      </c>
      <c r="B30">
        <v>204</v>
      </c>
      <c r="C30" t="s">
        <v>13</v>
      </c>
      <c r="D30" s="3" t="s">
        <v>33</v>
      </c>
      <c r="E30" s="1">
        <v>31473</v>
      </c>
      <c r="F30">
        <v>807</v>
      </c>
      <c r="G30" s="1">
        <v>10</v>
      </c>
      <c r="H30" s="1">
        <v>300</v>
      </c>
      <c r="I30" s="3" t="str">
        <f>TEXT(financials[[#This Row],[Schedule Delivery Date]],"mmmm")</f>
        <v>March</v>
      </c>
      <c r="J30">
        <f>YEAR(financials[[#This Row],[Schedule Delivery Date]])</f>
        <v>2026</v>
      </c>
      <c r="K30" s="7">
        <v>1</v>
      </c>
      <c r="L30" s="10">
        <v>46095</v>
      </c>
      <c r="M30" s="10">
        <v>46091</v>
      </c>
    </row>
    <row r="31" spans="1:13" x14ac:dyDescent="0.25">
      <c r="A31" t="s">
        <v>8</v>
      </c>
      <c r="B31">
        <v>205</v>
      </c>
      <c r="C31" t="s">
        <v>13</v>
      </c>
      <c r="D31" s="3" t="s">
        <v>36</v>
      </c>
      <c r="E31" s="1">
        <v>43518.75</v>
      </c>
      <c r="F31">
        <v>3165</v>
      </c>
      <c r="G31" s="1">
        <v>260</v>
      </c>
      <c r="H31" s="1">
        <v>125</v>
      </c>
      <c r="I31" s="3" t="str">
        <f>TEXT(financials[[#This Row],[Schedule Delivery Date]],"mmmm")</f>
        <v>January</v>
      </c>
      <c r="J31">
        <f>YEAR(financials[[#This Row],[Schedule Delivery Date]])</f>
        <v>2026</v>
      </c>
      <c r="K31" s="7">
        <v>1</v>
      </c>
      <c r="L31" s="9">
        <v>46036</v>
      </c>
      <c r="M31" s="9">
        <v>46036</v>
      </c>
    </row>
    <row r="32" spans="1:13" x14ac:dyDescent="0.25">
      <c r="A32" t="s">
        <v>9</v>
      </c>
      <c r="B32">
        <v>206</v>
      </c>
      <c r="C32" t="s">
        <v>55</v>
      </c>
      <c r="D32" s="3" t="s">
        <v>32</v>
      </c>
      <c r="E32" s="1">
        <v>44703.75</v>
      </c>
      <c r="F32">
        <v>982.5</v>
      </c>
      <c r="G32" s="1">
        <v>5</v>
      </c>
      <c r="H32" s="1">
        <v>350</v>
      </c>
      <c r="I32" s="3" t="str">
        <f>TEXT(financials[[#This Row],[Schedule Delivery Date]],"mmmm")</f>
        <v>December</v>
      </c>
      <c r="J32">
        <f>YEAR(financials[[#This Row],[Schedule Delivery Date]])</f>
        <v>2025</v>
      </c>
      <c r="K32" s="7">
        <v>1</v>
      </c>
      <c r="L32" s="9">
        <v>46021</v>
      </c>
      <c r="M32" s="9">
        <v>46024</v>
      </c>
    </row>
    <row r="33" spans="1:13" x14ac:dyDescent="0.25">
      <c r="A33" t="s">
        <v>6</v>
      </c>
      <c r="B33">
        <v>207</v>
      </c>
      <c r="C33" t="s">
        <v>14</v>
      </c>
      <c r="D33" s="3" t="s">
        <v>33</v>
      </c>
      <c r="E33" s="1">
        <v>69255</v>
      </c>
      <c r="F33">
        <v>2565</v>
      </c>
      <c r="G33" s="1">
        <v>10</v>
      </c>
      <c r="H33" s="1">
        <v>300</v>
      </c>
      <c r="I33" s="3" t="str">
        <f>TEXT(financials[[#This Row],[Schedule Delivery Date]],"mmmm")</f>
        <v>January</v>
      </c>
      <c r="J33">
        <f>YEAR(financials[[#This Row],[Schedule Delivery Date]])</f>
        <v>2026</v>
      </c>
      <c r="K33" s="7">
        <v>1</v>
      </c>
      <c r="L33" s="9">
        <v>46024</v>
      </c>
      <c r="M33" s="9">
        <v>46024</v>
      </c>
    </row>
    <row r="34" spans="1:13" x14ac:dyDescent="0.25">
      <c r="A34" t="s">
        <v>9</v>
      </c>
      <c r="B34">
        <v>208</v>
      </c>
      <c r="C34" t="s">
        <v>14</v>
      </c>
      <c r="D34" s="3" t="s">
        <v>33</v>
      </c>
      <c r="E34" s="1">
        <v>76135.5</v>
      </c>
      <c r="F34">
        <v>2417</v>
      </c>
      <c r="G34" s="1">
        <v>10</v>
      </c>
      <c r="H34" s="1">
        <v>350</v>
      </c>
      <c r="I34" s="3" t="str">
        <f>TEXT(financials[[#This Row],[Schedule Delivery Date]],"mmmm")</f>
        <v>January</v>
      </c>
      <c r="J34">
        <f>YEAR(financials[[#This Row],[Schedule Delivery Date]])</f>
        <v>2026</v>
      </c>
      <c r="K34" s="7">
        <v>1</v>
      </c>
      <c r="L34" s="9">
        <v>46024</v>
      </c>
      <c r="M34" s="9">
        <v>46024</v>
      </c>
    </row>
    <row r="35" spans="1:13" x14ac:dyDescent="0.25">
      <c r="A35" t="s">
        <v>9</v>
      </c>
      <c r="B35">
        <v>209</v>
      </c>
      <c r="C35" t="s">
        <v>11</v>
      </c>
      <c r="D35" s="3" t="s">
        <v>32</v>
      </c>
      <c r="E35" s="1">
        <v>109147.5</v>
      </c>
      <c r="F35">
        <v>2227.5</v>
      </c>
      <c r="G35" s="1">
        <v>5</v>
      </c>
      <c r="H35" s="1">
        <v>350</v>
      </c>
      <c r="I35" s="3" t="str">
        <f>TEXT(financials[[#This Row],[Schedule Delivery Date]],"mmmm")</f>
        <v>January</v>
      </c>
      <c r="J35">
        <f>YEAR(financials[[#This Row],[Schedule Delivery Date]])</f>
        <v>2026</v>
      </c>
      <c r="K35" s="7">
        <v>1</v>
      </c>
      <c r="L35" s="9">
        <v>46024</v>
      </c>
      <c r="M35" s="9">
        <v>46024</v>
      </c>
    </row>
    <row r="36" spans="1:13" x14ac:dyDescent="0.25">
      <c r="A36" t="s">
        <v>6</v>
      </c>
      <c r="B36">
        <v>210</v>
      </c>
      <c r="C36" t="s">
        <v>55</v>
      </c>
      <c r="D36" s="3" t="s">
        <v>33</v>
      </c>
      <c r="E36" s="1">
        <v>125820</v>
      </c>
      <c r="F36">
        <v>3495</v>
      </c>
      <c r="G36" s="1">
        <v>10</v>
      </c>
      <c r="H36" s="1">
        <v>300</v>
      </c>
      <c r="I36" s="3" t="str">
        <f>TEXT(financials[[#This Row],[Schedule Delivery Date]],"mmmm")</f>
        <v>January</v>
      </c>
      <c r="J36">
        <f>YEAR(financials[[#This Row],[Schedule Delivery Date]])</f>
        <v>2026</v>
      </c>
      <c r="K36" s="7">
        <v>1</v>
      </c>
      <c r="L36" s="9">
        <v>46024</v>
      </c>
      <c r="M36" s="9">
        <v>46024</v>
      </c>
    </row>
    <row r="37" spans="1:13" x14ac:dyDescent="0.25">
      <c r="A37" t="s">
        <v>9</v>
      </c>
      <c r="B37">
        <v>211</v>
      </c>
      <c r="C37" t="s">
        <v>55</v>
      </c>
      <c r="D37" s="3" t="s">
        <v>33</v>
      </c>
      <c r="E37" s="1">
        <v>0</v>
      </c>
      <c r="F37">
        <v>1143</v>
      </c>
      <c r="G37" s="1">
        <v>10</v>
      </c>
      <c r="H37" s="1">
        <v>7</v>
      </c>
      <c r="I37" s="3" t="str">
        <f>TEXT(financials[[#This Row],[Schedule Delivery Date]],"mmmm")</f>
        <v>January</v>
      </c>
      <c r="J37">
        <f>YEAR(financials[[#This Row],[Schedule Delivery Date]])</f>
        <v>2026</v>
      </c>
      <c r="K37" s="7">
        <v>10</v>
      </c>
      <c r="L37" s="9">
        <v>46024</v>
      </c>
      <c r="M37" s="9">
        <v>46024</v>
      </c>
    </row>
    <row r="38" spans="1:13" x14ac:dyDescent="0.25">
      <c r="A38" t="s">
        <v>9</v>
      </c>
      <c r="B38">
        <v>212</v>
      </c>
      <c r="C38" t="s">
        <v>55</v>
      </c>
      <c r="D38" s="3" t="s">
        <v>36</v>
      </c>
      <c r="E38" s="1">
        <v>0</v>
      </c>
      <c r="F38">
        <v>1143</v>
      </c>
      <c r="G38" s="1">
        <v>260</v>
      </c>
      <c r="H38" s="1">
        <v>7</v>
      </c>
      <c r="I38" s="3" t="str">
        <f>TEXT(financials[[#This Row],[Schedule Delivery Date]],"mmmm")</f>
        <v>January</v>
      </c>
      <c r="J38">
        <f>YEAR(financials[[#This Row],[Schedule Delivery Date]])</f>
        <v>2026</v>
      </c>
      <c r="K38" s="7">
        <v>10</v>
      </c>
      <c r="L38" s="9">
        <v>46024</v>
      </c>
      <c r="M38" s="9">
        <v>46024</v>
      </c>
    </row>
    <row r="39" spans="1:13" x14ac:dyDescent="0.25">
      <c r="A39" t="s">
        <v>9</v>
      </c>
      <c r="B39">
        <v>213</v>
      </c>
      <c r="C39" t="s">
        <v>13</v>
      </c>
      <c r="D39" s="3" t="s">
        <v>33</v>
      </c>
      <c r="E39" s="1">
        <v>226.8</v>
      </c>
      <c r="F39">
        <v>360</v>
      </c>
      <c r="G39" s="1">
        <v>10</v>
      </c>
      <c r="H39" s="1">
        <v>7</v>
      </c>
      <c r="I39" s="3" t="str">
        <f>TEXT(financials[[#This Row],[Schedule Delivery Date]],"mmmm")</f>
        <v>January</v>
      </c>
      <c r="J39">
        <f>YEAR(financials[[#This Row],[Schedule Delivery Date]])</f>
        <v>2026</v>
      </c>
      <c r="K39" s="7">
        <v>10</v>
      </c>
      <c r="L39" s="9">
        <v>46024</v>
      </c>
      <c r="M39" s="9">
        <v>46024</v>
      </c>
    </row>
    <row r="40" spans="1:13" x14ac:dyDescent="0.25">
      <c r="A40" t="s">
        <v>9</v>
      </c>
      <c r="B40">
        <v>214</v>
      </c>
      <c r="C40" t="s">
        <v>13</v>
      </c>
      <c r="D40" s="3" t="s">
        <v>35</v>
      </c>
      <c r="E40" s="1">
        <v>226.8</v>
      </c>
      <c r="F40">
        <v>360</v>
      </c>
      <c r="G40" s="1">
        <v>250</v>
      </c>
      <c r="H40" s="1">
        <v>7</v>
      </c>
      <c r="I40" s="3" t="str">
        <f>TEXT(financials[[#This Row],[Schedule Delivery Date]],"mmmm")</f>
        <v>January</v>
      </c>
      <c r="J40">
        <f>YEAR(financials[[#This Row],[Schedule Delivery Date]])</f>
        <v>2026</v>
      </c>
      <c r="K40" s="7">
        <v>10</v>
      </c>
      <c r="L40" s="9">
        <v>46024</v>
      </c>
      <c r="M40" s="9">
        <v>46024</v>
      </c>
    </row>
    <row r="41" spans="1:13" x14ac:dyDescent="0.25">
      <c r="A41" t="s">
        <v>10</v>
      </c>
      <c r="B41">
        <v>215</v>
      </c>
      <c r="C41" t="s">
        <v>11</v>
      </c>
      <c r="D41" s="3" t="s">
        <v>31</v>
      </c>
      <c r="E41" s="1">
        <v>310.8</v>
      </c>
      <c r="F41">
        <v>1295</v>
      </c>
      <c r="G41" s="1">
        <v>3</v>
      </c>
      <c r="H41" s="1">
        <v>12</v>
      </c>
      <c r="I41" s="3" t="str">
        <f>TEXT(financials[[#This Row],[Schedule Delivery Date]],"mmmm")</f>
        <v>December</v>
      </c>
      <c r="J41">
        <f>YEAR(financials[[#This Row],[Schedule Delivery Date]])</f>
        <v>2025</v>
      </c>
      <c r="K41" s="7">
        <v>10</v>
      </c>
      <c r="L41" s="9">
        <v>46021</v>
      </c>
      <c r="M41" s="9"/>
    </row>
    <row r="42" spans="1:13" x14ac:dyDescent="0.25">
      <c r="A42" t="s">
        <v>10</v>
      </c>
      <c r="B42">
        <v>216</v>
      </c>
      <c r="C42" t="s">
        <v>11</v>
      </c>
      <c r="D42" s="3" t="s">
        <v>33</v>
      </c>
      <c r="E42" s="1">
        <v>310.8</v>
      </c>
      <c r="F42">
        <v>1295</v>
      </c>
      <c r="G42" s="1">
        <v>10</v>
      </c>
      <c r="H42" s="1">
        <v>12</v>
      </c>
      <c r="I42" s="3" t="str">
        <f>TEXT(financials[[#This Row],[Schedule Delivery Date]],"mmmm")</f>
        <v>January</v>
      </c>
      <c r="J42">
        <f>YEAR(financials[[#This Row],[Schedule Delivery Date]])</f>
        <v>2026</v>
      </c>
      <c r="K42" s="7">
        <v>10</v>
      </c>
      <c r="L42" s="9">
        <v>46024</v>
      </c>
      <c r="M42" s="9">
        <v>46024</v>
      </c>
    </row>
    <row r="43" spans="1:13" x14ac:dyDescent="0.25">
      <c r="A43" t="s">
        <v>9</v>
      </c>
      <c r="B43">
        <v>217</v>
      </c>
      <c r="C43" t="s">
        <v>13</v>
      </c>
      <c r="D43" s="3" t="s">
        <v>33</v>
      </c>
      <c r="E43" s="1">
        <v>482</v>
      </c>
      <c r="F43">
        <v>241</v>
      </c>
      <c r="G43" s="1">
        <v>10</v>
      </c>
      <c r="H43" s="1">
        <v>20</v>
      </c>
      <c r="I43" s="3" t="str">
        <f>TEXT(financials[[#This Row],[Schedule Delivery Date]],"mmmm")</f>
        <v>January</v>
      </c>
      <c r="J43">
        <f>YEAR(financials[[#This Row],[Schedule Delivery Date]])</f>
        <v>2026</v>
      </c>
      <c r="K43" s="7">
        <v>10</v>
      </c>
      <c r="L43" s="9">
        <v>46024</v>
      </c>
      <c r="M43" s="9">
        <v>46024</v>
      </c>
    </row>
    <row r="44" spans="1:13" x14ac:dyDescent="0.25">
      <c r="A44" t="s">
        <v>9</v>
      </c>
      <c r="B44">
        <v>218</v>
      </c>
      <c r="C44" t="s">
        <v>13</v>
      </c>
      <c r="D44" s="3" t="s">
        <v>34</v>
      </c>
      <c r="E44" s="1">
        <v>482</v>
      </c>
      <c r="F44">
        <v>241</v>
      </c>
      <c r="G44" s="1">
        <v>120</v>
      </c>
      <c r="H44" s="1">
        <v>20</v>
      </c>
      <c r="I44" s="3" t="str">
        <f>TEXT(financials[[#This Row],[Schedule Delivery Date]],"mmmm")</f>
        <v>January</v>
      </c>
      <c r="J44">
        <f>YEAR(financials[[#This Row],[Schedule Delivery Date]])</f>
        <v>2026</v>
      </c>
      <c r="K44" s="7">
        <v>10</v>
      </c>
      <c r="L44" s="9">
        <v>46024</v>
      </c>
      <c r="M44" s="9">
        <v>46024</v>
      </c>
    </row>
    <row r="45" spans="1:13" x14ac:dyDescent="0.25">
      <c r="A45" t="s">
        <v>10</v>
      </c>
      <c r="B45">
        <v>219</v>
      </c>
      <c r="C45" t="s">
        <v>13</v>
      </c>
      <c r="D45" s="3" t="s">
        <v>34</v>
      </c>
      <c r="E45" s="1">
        <v>623.04</v>
      </c>
      <c r="F45">
        <v>472</v>
      </c>
      <c r="G45" s="1">
        <v>120</v>
      </c>
      <c r="H45" s="1">
        <v>12</v>
      </c>
      <c r="I45" s="3" t="str">
        <f>TEXT(financials[[#This Row],[Schedule Delivery Date]],"mmmm")</f>
        <v>January</v>
      </c>
      <c r="J45">
        <f>YEAR(financials[[#This Row],[Schedule Delivery Date]])</f>
        <v>2026</v>
      </c>
      <c r="K45" s="7">
        <v>10</v>
      </c>
      <c r="L45" s="9">
        <v>46024</v>
      </c>
      <c r="M45" s="9">
        <v>46024</v>
      </c>
    </row>
    <row r="46" spans="1:13" x14ac:dyDescent="0.25">
      <c r="A46" t="s">
        <v>10</v>
      </c>
      <c r="B46">
        <v>220</v>
      </c>
      <c r="C46" t="s">
        <v>13</v>
      </c>
      <c r="D46" s="3" t="s">
        <v>36</v>
      </c>
      <c r="E46" s="1">
        <v>623.04</v>
      </c>
      <c r="F46">
        <v>472</v>
      </c>
      <c r="G46" s="1">
        <v>260</v>
      </c>
      <c r="H46" s="1">
        <v>12</v>
      </c>
      <c r="I46" s="3" t="str">
        <f>TEXT(financials[[#This Row],[Schedule Delivery Date]],"mmmm")</f>
        <v>January</v>
      </c>
      <c r="J46">
        <f>YEAR(financials[[#This Row],[Schedule Delivery Date]])</f>
        <v>2026</v>
      </c>
      <c r="K46" s="7">
        <v>10</v>
      </c>
      <c r="L46" s="9">
        <v>46024</v>
      </c>
      <c r="M46" s="9">
        <v>46024</v>
      </c>
    </row>
    <row r="47" spans="1:13" x14ac:dyDescent="0.25">
      <c r="A47" t="s">
        <v>9</v>
      </c>
      <c r="B47">
        <v>221</v>
      </c>
      <c r="C47" t="s">
        <v>55</v>
      </c>
      <c r="D47" s="3" t="s">
        <v>32</v>
      </c>
      <c r="E47" s="1">
        <v>626.4</v>
      </c>
      <c r="F47">
        <v>1566</v>
      </c>
      <c r="G47" s="1">
        <v>5</v>
      </c>
      <c r="H47" s="1">
        <v>20</v>
      </c>
      <c r="I47" s="3" t="str">
        <f>TEXT(financials[[#This Row],[Schedule Delivery Date]],"mmmm")</f>
        <v>January</v>
      </c>
      <c r="J47">
        <f>YEAR(financials[[#This Row],[Schedule Delivery Date]])</f>
        <v>2026</v>
      </c>
      <c r="K47" s="7">
        <v>10</v>
      </c>
      <c r="L47" s="9">
        <v>46024</v>
      </c>
      <c r="M47" s="9">
        <v>46024</v>
      </c>
    </row>
    <row r="48" spans="1:13" x14ac:dyDescent="0.25">
      <c r="A48" t="s">
        <v>9</v>
      </c>
      <c r="B48">
        <v>222</v>
      </c>
      <c r="C48" t="s">
        <v>55</v>
      </c>
      <c r="D48" s="3" t="s">
        <v>34</v>
      </c>
      <c r="E48" s="1">
        <v>626.4</v>
      </c>
      <c r="F48">
        <v>1566</v>
      </c>
      <c r="G48" s="1">
        <v>120</v>
      </c>
      <c r="H48" s="1">
        <v>20</v>
      </c>
      <c r="I48" s="3" t="str">
        <f>TEXT(financials[[#This Row],[Schedule Delivery Date]],"mmmm")</f>
        <v>January</v>
      </c>
      <c r="J48">
        <f>YEAR(financials[[#This Row],[Schedule Delivery Date]])</f>
        <v>2026</v>
      </c>
      <c r="K48" s="7">
        <v>10</v>
      </c>
      <c r="L48" s="9">
        <v>46024</v>
      </c>
      <c r="M48" s="9">
        <v>46024</v>
      </c>
    </row>
    <row r="49" spans="1:13" x14ac:dyDescent="0.25">
      <c r="A49" t="s">
        <v>10</v>
      </c>
      <c r="B49">
        <v>223</v>
      </c>
      <c r="C49" t="s">
        <v>14</v>
      </c>
      <c r="D49" s="3" t="s">
        <v>34</v>
      </c>
      <c r="E49" s="1">
        <v>639.6</v>
      </c>
      <c r="F49">
        <v>410</v>
      </c>
      <c r="G49" s="1">
        <v>120</v>
      </c>
      <c r="H49" s="1">
        <v>12</v>
      </c>
      <c r="I49" s="3" t="str">
        <f>TEXT(financials[[#This Row],[Schedule Delivery Date]],"mmmm")</f>
        <v>January</v>
      </c>
      <c r="J49">
        <f>YEAR(financials[[#This Row],[Schedule Delivery Date]])</f>
        <v>2026</v>
      </c>
      <c r="K49" s="7">
        <v>10</v>
      </c>
      <c r="L49" s="9">
        <v>46024</v>
      </c>
      <c r="M49" s="9">
        <v>46024</v>
      </c>
    </row>
    <row r="50" spans="1:13" x14ac:dyDescent="0.25">
      <c r="A50" t="s">
        <v>10</v>
      </c>
      <c r="B50">
        <v>224</v>
      </c>
      <c r="C50" t="s">
        <v>14</v>
      </c>
      <c r="D50" s="3" t="s">
        <v>36</v>
      </c>
      <c r="E50" s="1">
        <v>639.6</v>
      </c>
      <c r="F50">
        <v>410</v>
      </c>
      <c r="G50" s="1">
        <v>260</v>
      </c>
      <c r="H50" s="1">
        <v>12</v>
      </c>
      <c r="I50" s="3" t="str">
        <f>TEXT(financials[[#This Row],[Schedule Delivery Date]],"mmmm")</f>
        <v>January</v>
      </c>
      <c r="J50">
        <f>YEAR(financials[[#This Row],[Schedule Delivery Date]])</f>
        <v>2026</v>
      </c>
      <c r="K50" s="7">
        <v>10</v>
      </c>
      <c r="L50" s="9">
        <v>46024</v>
      </c>
      <c r="M50" s="9">
        <v>46024</v>
      </c>
    </row>
    <row r="51" spans="1:13" x14ac:dyDescent="0.25">
      <c r="A51" t="s">
        <v>9</v>
      </c>
      <c r="B51">
        <v>225</v>
      </c>
      <c r="C51" t="s">
        <v>14</v>
      </c>
      <c r="D51" s="3" t="s">
        <v>33</v>
      </c>
      <c r="E51" s="1">
        <v>941.15</v>
      </c>
      <c r="F51">
        <v>2689</v>
      </c>
      <c r="G51" s="1">
        <v>10</v>
      </c>
      <c r="H51" s="1">
        <v>7</v>
      </c>
      <c r="I51" s="3" t="str">
        <f>TEXT(financials[[#This Row],[Schedule Delivery Date]],"mmmm")</f>
        <v>January</v>
      </c>
      <c r="J51">
        <f>YEAR(financials[[#This Row],[Schedule Delivery Date]])</f>
        <v>2026</v>
      </c>
      <c r="K51" s="7">
        <v>10</v>
      </c>
      <c r="L51" s="9">
        <v>46033</v>
      </c>
      <c r="M51" s="9">
        <v>46033</v>
      </c>
    </row>
    <row r="52" spans="1:13" x14ac:dyDescent="0.25">
      <c r="A52" t="s">
        <v>9</v>
      </c>
      <c r="B52">
        <v>226</v>
      </c>
      <c r="C52" t="s">
        <v>14</v>
      </c>
      <c r="D52" s="3" t="s">
        <v>35</v>
      </c>
      <c r="E52" s="1">
        <v>941.15</v>
      </c>
      <c r="F52">
        <v>2689</v>
      </c>
      <c r="G52" s="1">
        <v>250</v>
      </c>
      <c r="H52" s="1">
        <v>7</v>
      </c>
      <c r="I52" s="3" t="str">
        <f>TEXT(financials[[#This Row],[Schedule Delivery Date]],"mmmm")</f>
        <v>January</v>
      </c>
      <c r="J52">
        <f>YEAR(financials[[#This Row],[Schedule Delivery Date]])</f>
        <v>2026</v>
      </c>
      <c r="K52" s="7">
        <v>10</v>
      </c>
      <c r="L52" s="9">
        <v>46024</v>
      </c>
      <c r="M52" s="9">
        <v>46024</v>
      </c>
    </row>
    <row r="53" spans="1:13" x14ac:dyDescent="0.25">
      <c r="A53" t="s">
        <v>7</v>
      </c>
      <c r="B53">
        <v>227</v>
      </c>
      <c r="C53" t="s">
        <v>55</v>
      </c>
      <c r="D53" s="3" t="s">
        <v>33</v>
      </c>
      <c r="E53" s="1">
        <v>1037.7</v>
      </c>
      <c r="F53">
        <v>1153</v>
      </c>
      <c r="G53" s="1">
        <v>10</v>
      </c>
      <c r="H53" s="1">
        <v>15</v>
      </c>
      <c r="I53" s="3" t="str">
        <f>TEXT(financials[[#This Row],[Schedule Delivery Date]],"mmmm")</f>
        <v>January</v>
      </c>
      <c r="J53">
        <f>YEAR(financials[[#This Row],[Schedule Delivery Date]])</f>
        <v>2026</v>
      </c>
      <c r="K53" s="7">
        <v>10</v>
      </c>
      <c r="L53" s="9">
        <v>46024</v>
      </c>
      <c r="M53" s="9">
        <v>46024</v>
      </c>
    </row>
    <row r="54" spans="1:13" x14ac:dyDescent="0.25">
      <c r="A54" t="s">
        <v>7</v>
      </c>
      <c r="B54">
        <v>228</v>
      </c>
      <c r="C54" t="s">
        <v>55</v>
      </c>
      <c r="D54" s="3" t="s">
        <v>35</v>
      </c>
      <c r="E54" s="1">
        <v>1037.7</v>
      </c>
      <c r="F54">
        <v>1153</v>
      </c>
      <c r="G54" s="1">
        <v>250</v>
      </c>
      <c r="H54" s="1">
        <v>15</v>
      </c>
      <c r="I54" s="3" t="str">
        <f>TEXT(financials[[#This Row],[Schedule Delivery Date]],"mmmm")</f>
        <v>January</v>
      </c>
      <c r="J54">
        <f>YEAR(financials[[#This Row],[Schedule Delivery Date]])</f>
        <v>2026</v>
      </c>
      <c r="K54" s="7">
        <v>10</v>
      </c>
      <c r="L54" s="9">
        <v>46024</v>
      </c>
      <c r="M54" s="9">
        <v>46024</v>
      </c>
    </row>
    <row r="55" spans="1:13" x14ac:dyDescent="0.25">
      <c r="A55" t="s">
        <v>7</v>
      </c>
      <c r="B55">
        <v>229</v>
      </c>
      <c r="C55" t="s">
        <v>14</v>
      </c>
      <c r="D55" s="3" t="s">
        <v>32</v>
      </c>
      <c r="E55" s="1">
        <v>1218.5999999999999</v>
      </c>
      <c r="F55">
        <v>2031</v>
      </c>
      <c r="G55" s="1">
        <v>5</v>
      </c>
      <c r="H55" s="1">
        <v>15</v>
      </c>
      <c r="I55" s="3" t="str">
        <f>TEXT(financials[[#This Row],[Schedule Delivery Date]],"mmmm")</f>
        <v>January</v>
      </c>
      <c r="J55">
        <f>YEAR(financials[[#This Row],[Schedule Delivery Date]])</f>
        <v>2026</v>
      </c>
      <c r="K55" s="7">
        <v>10</v>
      </c>
      <c r="L55" s="9">
        <v>46024</v>
      </c>
      <c r="M55" s="9">
        <v>46024</v>
      </c>
    </row>
    <row r="56" spans="1:13" x14ac:dyDescent="0.25">
      <c r="A56" t="s">
        <v>7</v>
      </c>
      <c r="B56">
        <v>230</v>
      </c>
      <c r="C56" t="s">
        <v>14</v>
      </c>
      <c r="D56" s="3" t="s">
        <v>33</v>
      </c>
      <c r="E56" s="1">
        <v>1218.5999999999999</v>
      </c>
      <c r="F56">
        <v>2031</v>
      </c>
      <c r="G56" s="1">
        <v>10</v>
      </c>
      <c r="H56" s="1">
        <v>15</v>
      </c>
      <c r="I56" s="3" t="str">
        <f>TEXT(financials[[#This Row],[Schedule Delivery Date]],"mmmm")</f>
        <v>January</v>
      </c>
      <c r="J56">
        <f>YEAR(financials[[#This Row],[Schedule Delivery Date]])</f>
        <v>2026</v>
      </c>
      <c r="K56" s="7">
        <v>10</v>
      </c>
      <c r="L56" s="9">
        <v>46024</v>
      </c>
      <c r="M56" s="9">
        <v>46024</v>
      </c>
    </row>
    <row r="57" spans="1:13" x14ac:dyDescent="0.25">
      <c r="A57" t="s">
        <v>7</v>
      </c>
      <c r="B57">
        <v>231</v>
      </c>
      <c r="C57" t="s">
        <v>12</v>
      </c>
      <c r="D57" s="3" t="s">
        <v>33</v>
      </c>
      <c r="E57" s="1">
        <v>1656.45</v>
      </c>
      <c r="F57">
        <v>1227</v>
      </c>
      <c r="G57" s="1">
        <v>10</v>
      </c>
      <c r="H57" s="1">
        <v>15</v>
      </c>
      <c r="I57" s="3" t="str">
        <f>TEXT(financials[[#This Row],[Schedule Delivery Date]],"mmmm")</f>
        <v>January</v>
      </c>
      <c r="J57">
        <f>YEAR(financials[[#This Row],[Schedule Delivery Date]])</f>
        <v>2026</v>
      </c>
      <c r="K57" s="7">
        <v>10</v>
      </c>
      <c r="L57" s="9">
        <v>46024</v>
      </c>
      <c r="M57" s="9">
        <v>46024</v>
      </c>
    </row>
    <row r="58" spans="1:13" x14ac:dyDescent="0.25">
      <c r="A58" t="s">
        <v>7</v>
      </c>
      <c r="B58">
        <v>232</v>
      </c>
      <c r="C58" t="s">
        <v>12</v>
      </c>
      <c r="D58" s="3" t="s">
        <v>35</v>
      </c>
      <c r="E58" s="1">
        <v>1656.45</v>
      </c>
      <c r="F58">
        <v>1227</v>
      </c>
      <c r="G58" s="1">
        <v>250</v>
      </c>
      <c r="H58" s="1">
        <v>15</v>
      </c>
      <c r="I58" s="3" t="str">
        <f>TEXT(financials[[#This Row],[Schedule Delivery Date]],"mmmm")</f>
        <v>January</v>
      </c>
      <c r="J58">
        <f>YEAR(financials[[#This Row],[Schedule Delivery Date]])</f>
        <v>2026</v>
      </c>
      <c r="K58" s="7">
        <v>10</v>
      </c>
      <c r="L58" s="9">
        <v>46024</v>
      </c>
      <c r="M58" s="9">
        <v>46024</v>
      </c>
    </row>
    <row r="59" spans="1:13" x14ac:dyDescent="0.25">
      <c r="A59" t="s">
        <v>9</v>
      </c>
      <c r="B59">
        <v>233</v>
      </c>
      <c r="C59" t="s">
        <v>12</v>
      </c>
      <c r="D59" s="3" t="s">
        <v>33</v>
      </c>
      <c r="E59" s="1">
        <v>1696.38</v>
      </c>
      <c r="F59">
        <v>1731</v>
      </c>
      <c r="G59" s="1">
        <v>10</v>
      </c>
      <c r="H59" s="1">
        <v>7</v>
      </c>
      <c r="I59" s="3" t="str">
        <f>TEXT(financials[[#This Row],[Schedule Delivery Date]],"mmmm")</f>
        <v>January</v>
      </c>
      <c r="J59">
        <f>YEAR(financials[[#This Row],[Schedule Delivery Date]])</f>
        <v>2026</v>
      </c>
      <c r="K59" s="7">
        <v>10</v>
      </c>
      <c r="L59" s="9">
        <v>46024</v>
      </c>
      <c r="M59" s="9">
        <v>46024</v>
      </c>
    </row>
    <row r="60" spans="1:13" x14ac:dyDescent="0.25">
      <c r="A60" t="s">
        <v>9</v>
      </c>
      <c r="B60">
        <v>234</v>
      </c>
      <c r="C60" t="s">
        <v>12</v>
      </c>
      <c r="D60" s="3" t="s">
        <v>36</v>
      </c>
      <c r="E60" s="1">
        <v>1696.38</v>
      </c>
      <c r="F60">
        <v>1731</v>
      </c>
      <c r="G60" s="1">
        <v>260</v>
      </c>
      <c r="H60" s="1">
        <v>7</v>
      </c>
      <c r="I60" s="3" t="str">
        <f>TEXT(financials[[#This Row],[Schedule Delivery Date]],"mmmm")</f>
        <v>January</v>
      </c>
      <c r="J60">
        <f>YEAR(financials[[#This Row],[Schedule Delivery Date]])</f>
        <v>2026</v>
      </c>
      <c r="K60" s="7">
        <v>10</v>
      </c>
      <c r="L60" s="9">
        <v>46024</v>
      </c>
      <c r="M60" s="9">
        <v>46024</v>
      </c>
    </row>
    <row r="61" spans="1:13" x14ac:dyDescent="0.25">
      <c r="A61" t="s">
        <v>9</v>
      </c>
      <c r="B61">
        <v>235</v>
      </c>
      <c r="C61" t="s">
        <v>14</v>
      </c>
      <c r="D61" s="3" t="s">
        <v>33</v>
      </c>
      <c r="E61" s="1">
        <v>2172</v>
      </c>
      <c r="F61">
        <v>905</v>
      </c>
      <c r="G61" s="1">
        <v>10</v>
      </c>
      <c r="H61" s="1">
        <v>20</v>
      </c>
      <c r="I61" s="3" t="str">
        <f>TEXT(financials[[#This Row],[Schedule Delivery Date]],"mmmm")</f>
        <v>February</v>
      </c>
      <c r="J61">
        <f>YEAR(financials[[#This Row],[Schedule Delivery Date]])</f>
        <v>2026</v>
      </c>
      <c r="K61" s="7">
        <v>10</v>
      </c>
      <c r="L61" s="9">
        <v>46062</v>
      </c>
      <c r="M61" s="9">
        <v>46002</v>
      </c>
    </row>
    <row r="62" spans="1:13" x14ac:dyDescent="0.25">
      <c r="A62" t="s">
        <v>9</v>
      </c>
      <c r="B62">
        <v>236</v>
      </c>
      <c r="C62" t="s">
        <v>14</v>
      </c>
      <c r="D62" s="3" t="s">
        <v>34</v>
      </c>
      <c r="E62" s="1">
        <v>2172</v>
      </c>
      <c r="F62">
        <v>905</v>
      </c>
      <c r="G62" s="1">
        <v>120</v>
      </c>
      <c r="H62" s="1">
        <v>20</v>
      </c>
      <c r="I62" s="3" t="str">
        <f>TEXT(financials[[#This Row],[Schedule Delivery Date]],"mmmm")</f>
        <v>February</v>
      </c>
      <c r="J62">
        <f>YEAR(financials[[#This Row],[Schedule Delivery Date]])</f>
        <v>2026</v>
      </c>
      <c r="K62" s="7">
        <v>10</v>
      </c>
      <c r="L62" s="9">
        <v>46062</v>
      </c>
      <c r="M62" s="9">
        <v>46007</v>
      </c>
    </row>
    <row r="63" spans="1:13" x14ac:dyDescent="0.25">
      <c r="A63" t="s">
        <v>9</v>
      </c>
      <c r="B63">
        <v>237</v>
      </c>
      <c r="C63" t="s">
        <v>11</v>
      </c>
      <c r="D63" s="3" t="s">
        <v>32</v>
      </c>
      <c r="E63" s="1">
        <v>2296.56</v>
      </c>
      <c r="F63">
        <v>2734</v>
      </c>
      <c r="G63" s="1">
        <v>5</v>
      </c>
      <c r="H63" s="1">
        <v>7</v>
      </c>
      <c r="I63" s="3" t="str">
        <f>TEXT(financials[[#This Row],[Schedule Delivery Date]],"mmmm")</f>
        <v>January</v>
      </c>
      <c r="J63">
        <f>YEAR(financials[[#This Row],[Schedule Delivery Date]])</f>
        <v>2026</v>
      </c>
      <c r="K63" s="7">
        <v>10</v>
      </c>
      <c r="L63" s="9">
        <v>46024</v>
      </c>
      <c r="M63" s="9">
        <v>46024</v>
      </c>
    </row>
    <row r="64" spans="1:13" x14ac:dyDescent="0.25">
      <c r="A64" t="s">
        <v>9</v>
      </c>
      <c r="B64">
        <v>238</v>
      </c>
      <c r="C64" t="s">
        <v>11</v>
      </c>
      <c r="D64" s="3" t="s">
        <v>36</v>
      </c>
      <c r="E64" s="1">
        <v>2296.56</v>
      </c>
      <c r="F64">
        <v>2734</v>
      </c>
      <c r="G64" s="1">
        <v>260</v>
      </c>
      <c r="H64" s="1">
        <v>7</v>
      </c>
      <c r="I64" s="3" t="str">
        <f>TEXT(financials[[#This Row],[Schedule Delivery Date]],"mmmm")</f>
        <v>January</v>
      </c>
      <c r="J64">
        <f>YEAR(financials[[#This Row],[Schedule Delivery Date]])</f>
        <v>2026</v>
      </c>
      <c r="K64" s="7">
        <v>10</v>
      </c>
      <c r="L64" s="9">
        <v>46024</v>
      </c>
      <c r="M64" s="9">
        <v>46024</v>
      </c>
    </row>
    <row r="65" spans="1:13" x14ac:dyDescent="0.25">
      <c r="A65" t="s">
        <v>10</v>
      </c>
      <c r="B65">
        <v>239</v>
      </c>
      <c r="C65" t="s">
        <v>12</v>
      </c>
      <c r="D65" s="3" t="s">
        <v>33</v>
      </c>
      <c r="E65" s="1">
        <v>2340.2399999999998</v>
      </c>
      <c r="F65">
        <v>1393</v>
      </c>
      <c r="G65" s="1">
        <v>10</v>
      </c>
      <c r="H65" s="1">
        <v>12</v>
      </c>
      <c r="I65" s="3" t="str">
        <f>TEXT(financials[[#This Row],[Schedule Delivery Date]],"mmmm")</f>
        <v>January</v>
      </c>
      <c r="J65">
        <f>YEAR(financials[[#This Row],[Schedule Delivery Date]])</f>
        <v>2026</v>
      </c>
      <c r="K65" s="7">
        <v>10</v>
      </c>
      <c r="L65" s="9">
        <v>46024</v>
      </c>
      <c r="M65" s="9">
        <v>46024</v>
      </c>
    </row>
    <row r="66" spans="1:13" x14ac:dyDescent="0.25">
      <c r="A66" t="s">
        <v>10</v>
      </c>
      <c r="B66">
        <v>240</v>
      </c>
      <c r="C66" t="s">
        <v>12</v>
      </c>
      <c r="D66" s="3" t="s">
        <v>36</v>
      </c>
      <c r="E66" s="1">
        <v>2340.2399999999998</v>
      </c>
      <c r="F66">
        <v>1393</v>
      </c>
      <c r="G66" s="1">
        <v>260</v>
      </c>
      <c r="H66" s="1">
        <v>12</v>
      </c>
      <c r="I66" s="3" t="str">
        <f>TEXT(financials[[#This Row],[Schedule Delivery Date]],"mmmm")</f>
        <v>January</v>
      </c>
      <c r="J66">
        <f>YEAR(financials[[#This Row],[Schedule Delivery Date]])</f>
        <v>2026</v>
      </c>
      <c r="K66" s="7">
        <v>10</v>
      </c>
      <c r="L66" s="9">
        <v>46024</v>
      </c>
      <c r="M66" s="9">
        <v>46024</v>
      </c>
    </row>
    <row r="67" spans="1:13" x14ac:dyDescent="0.25">
      <c r="A67" t="s">
        <v>7</v>
      </c>
      <c r="B67">
        <v>241</v>
      </c>
      <c r="C67" t="s">
        <v>13</v>
      </c>
      <c r="D67" s="3" t="s">
        <v>33</v>
      </c>
      <c r="E67" s="1">
        <v>2643.75</v>
      </c>
      <c r="F67">
        <v>1175</v>
      </c>
      <c r="G67" s="1">
        <v>10</v>
      </c>
      <c r="H67" s="1">
        <v>15</v>
      </c>
      <c r="I67" s="3" t="str">
        <f>TEXT(financials[[#This Row],[Schedule Delivery Date]],"mmmm")</f>
        <v>January</v>
      </c>
      <c r="J67">
        <f>YEAR(financials[[#This Row],[Schedule Delivery Date]])</f>
        <v>2026</v>
      </c>
      <c r="K67" s="7">
        <v>10</v>
      </c>
      <c r="L67" s="9">
        <v>46024</v>
      </c>
      <c r="M67" s="9">
        <v>46024</v>
      </c>
    </row>
    <row r="68" spans="1:13" x14ac:dyDescent="0.25">
      <c r="A68" t="s">
        <v>7</v>
      </c>
      <c r="B68">
        <v>242</v>
      </c>
      <c r="C68" t="s">
        <v>13</v>
      </c>
      <c r="D68" s="3" t="s">
        <v>35</v>
      </c>
      <c r="E68" s="1">
        <v>2643.75</v>
      </c>
      <c r="F68">
        <v>1175</v>
      </c>
      <c r="G68" s="1">
        <v>250</v>
      </c>
      <c r="H68" s="1">
        <v>15</v>
      </c>
      <c r="I68" s="3" t="str">
        <f>TEXT(financials[[#This Row],[Schedule Delivery Date]],"mmmm")</f>
        <v>January</v>
      </c>
      <c r="J68">
        <f>YEAR(financials[[#This Row],[Schedule Delivery Date]])</f>
        <v>2026</v>
      </c>
      <c r="K68" s="7">
        <v>10</v>
      </c>
      <c r="L68" s="9">
        <v>46024</v>
      </c>
      <c r="M68" s="9">
        <v>46024</v>
      </c>
    </row>
    <row r="69" spans="1:13" x14ac:dyDescent="0.25">
      <c r="A69" t="s">
        <v>9</v>
      </c>
      <c r="B69">
        <v>243</v>
      </c>
      <c r="C69" t="s">
        <v>12</v>
      </c>
      <c r="D69" s="3" t="s">
        <v>32</v>
      </c>
      <c r="E69" s="1">
        <v>2766.4</v>
      </c>
      <c r="F69">
        <v>1976</v>
      </c>
      <c r="G69" s="1">
        <v>5</v>
      </c>
      <c r="H69" s="1">
        <v>20</v>
      </c>
      <c r="I69" s="3" t="str">
        <f>TEXT(financials[[#This Row],[Schedule Delivery Date]],"mmmm")</f>
        <v>January</v>
      </c>
      <c r="J69">
        <f>YEAR(financials[[#This Row],[Schedule Delivery Date]])</f>
        <v>2026</v>
      </c>
      <c r="K69" s="7">
        <v>10</v>
      </c>
      <c r="L69" s="9">
        <v>46024</v>
      </c>
      <c r="M69" s="9">
        <v>46024</v>
      </c>
    </row>
    <row r="70" spans="1:13" x14ac:dyDescent="0.25">
      <c r="A70" t="s">
        <v>9</v>
      </c>
      <c r="B70">
        <v>244</v>
      </c>
      <c r="C70" t="s">
        <v>12</v>
      </c>
      <c r="D70" s="3" t="s">
        <v>34</v>
      </c>
      <c r="E70" s="1">
        <v>2766.4</v>
      </c>
      <c r="F70">
        <v>1976</v>
      </c>
      <c r="G70" s="1">
        <v>120</v>
      </c>
      <c r="H70" s="1">
        <v>20</v>
      </c>
      <c r="I70" s="3" t="str">
        <f>TEXT(financials[[#This Row],[Schedule Delivery Date]],"mmmm")</f>
        <v>January</v>
      </c>
      <c r="J70">
        <f>YEAR(financials[[#This Row],[Schedule Delivery Date]])</f>
        <v>2026</v>
      </c>
      <c r="K70" s="7">
        <v>10</v>
      </c>
      <c r="L70" s="9">
        <v>46024</v>
      </c>
      <c r="M70" s="9">
        <v>46024</v>
      </c>
    </row>
    <row r="71" spans="1:13" x14ac:dyDescent="0.25">
      <c r="A71" t="s">
        <v>7</v>
      </c>
      <c r="B71">
        <v>245</v>
      </c>
      <c r="C71" t="s">
        <v>11</v>
      </c>
      <c r="D71" s="3" t="s">
        <v>33</v>
      </c>
      <c r="E71" s="1">
        <v>3051.75</v>
      </c>
      <c r="F71">
        <v>1565</v>
      </c>
      <c r="G71" s="1">
        <v>10</v>
      </c>
      <c r="H71" s="1">
        <v>15</v>
      </c>
      <c r="I71" s="3" t="str">
        <f>TEXT(financials[[#This Row],[Schedule Delivery Date]],"mmmm")</f>
        <v>January</v>
      </c>
      <c r="J71">
        <f>YEAR(financials[[#This Row],[Schedule Delivery Date]])</f>
        <v>2026</v>
      </c>
      <c r="K71" s="7">
        <v>10</v>
      </c>
      <c r="L71" s="9">
        <v>46024</v>
      </c>
      <c r="M71" s="9">
        <v>46024</v>
      </c>
    </row>
    <row r="72" spans="1:13" x14ac:dyDescent="0.25">
      <c r="A72" t="s">
        <v>7</v>
      </c>
      <c r="B72">
        <v>246</v>
      </c>
      <c r="C72" t="s">
        <v>11</v>
      </c>
      <c r="D72" s="3" t="s">
        <v>35</v>
      </c>
      <c r="E72" s="1">
        <v>3051.75</v>
      </c>
      <c r="F72">
        <v>1565</v>
      </c>
      <c r="G72" s="1">
        <v>250</v>
      </c>
      <c r="H72" s="1">
        <v>15</v>
      </c>
      <c r="I72" s="3" t="str">
        <f>TEXT(financials[[#This Row],[Schedule Delivery Date]],"mmmm")</f>
        <v>January</v>
      </c>
      <c r="J72">
        <f>YEAR(financials[[#This Row],[Schedule Delivery Date]])</f>
        <v>2026</v>
      </c>
      <c r="K72" s="7">
        <v>10</v>
      </c>
      <c r="L72" s="9">
        <v>46024</v>
      </c>
      <c r="M72" s="9">
        <v>46024</v>
      </c>
    </row>
    <row r="73" spans="1:13" x14ac:dyDescent="0.25">
      <c r="A73" t="s">
        <v>9</v>
      </c>
      <c r="B73">
        <v>247</v>
      </c>
      <c r="C73" t="s">
        <v>11</v>
      </c>
      <c r="D73" s="3" t="s">
        <v>32</v>
      </c>
      <c r="E73" s="1">
        <v>3247.4</v>
      </c>
      <c r="F73">
        <v>1249</v>
      </c>
      <c r="G73" s="1">
        <v>5</v>
      </c>
      <c r="H73" s="1">
        <v>20</v>
      </c>
      <c r="I73" s="3" t="str">
        <f>TEXT(financials[[#This Row],[Schedule Delivery Date]],"mmmm")</f>
        <v>January</v>
      </c>
      <c r="J73">
        <f>YEAR(financials[[#This Row],[Schedule Delivery Date]])</f>
        <v>2026</v>
      </c>
      <c r="K73" s="7">
        <v>10</v>
      </c>
      <c r="L73" s="9">
        <v>46024</v>
      </c>
      <c r="M73" s="9">
        <v>46024</v>
      </c>
    </row>
    <row r="74" spans="1:13" x14ac:dyDescent="0.25">
      <c r="A74" t="s">
        <v>9</v>
      </c>
      <c r="B74">
        <v>248</v>
      </c>
      <c r="C74" t="s">
        <v>11</v>
      </c>
      <c r="D74" s="3" t="s">
        <v>33</v>
      </c>
      <c r="E74" s="1">
        <v>3247.4</v>
      </c>
      <c r="F74">
        <v>1249</v>
      </c>
      <c r="G74" s="1">
        <v>10</v>
      </c>
      <c r="H74" s="1">
        <v>20</v>
      </c>
      <c r="I74" s="3" t="str">
        <f>TEXT(financials[[#This Row],[Schedule Delivery Date]],"mmmm")</f>
        <v>January</v>
      </c>
      <c r="J74">
        <f>YEAR(financials[[#This Row],[Schedule Delivery Date]])</f>
        <v>2026</v>
      </c>
      <c r="K74" s="7">
        <v>10</v>
      </c>
      <c r="L74" s="9">
        <v>46024</v>
      </c>
      <c r="M74" s="9">
        <v>46024</v>
      </c>
    </row>
    <row r="75" spans="1:13" x14ac:dyDescent="0.25">
      <c r="A75" t="s">
        <v>9</v>
      </c>
      <c r="B75">
        <v>249</v>
      </c>
      <c r="C75" t="s">
        <v>14</v>
      </c>
      <c r="D75" s="3" t="s">
        <v>31</v>
      </c>
      <c r="E75" s="1">
        <v>4889.5</v>
      </c>
      <c r="F75">
        <v>1397</v>
      </c>
      <c r="G75" s="1">
        <v>3</v>
      </c>
      <c r="H75" s="1">
        <v>350</v>
      </c>
      <c r="I75" s="3" t="str">
        <f>TEXT(financials[[#This Row],[Schedule Delivery Date]],"mmmm")</f>
        <v>January</v>
      </c>
      <c r="J75">
        <f>YEAR(financials[[#This Row],[Schedule Delivery Date]])</f>
        <v>2026</v>
      </c>
      <c r="K75" s="7">
        <v>10</v>
      </c>
      <c r="L75" s="9">
        <v>46024</v>
      </c>
      <c r="M75" s="9">
        <v>46024</v>
      </c>
    </row>
    <row r="76" spans="1:13" x14ac:dyDescent="0.25">
      <c r="A76" t="s">
        <v>9</v>
      </c>
      <c r="B76">
        <v>250</v>
      </c>
      <c r="C76" t="s">
        <v>14</v>
      </c>
      <c r="D76" s="3" t="s">
        <v>35</v>
      </c>
      <c r="E76" s="1">
        <v>4889.5</v>
      </c>
      <c r="F76">
        <v>1397</v>
      </c>
      <c r="G76" s="1">
        <v>250</v>
      </c>
      <c r="H76" s="1">
        <v>350</v>
      </c>
      <c r="I76" s="3" t="str">
        <f>TEXT(financials[[#This Row],[Schedule Delivery Date]],"mmmm")</f>
        <v>January</v>
      </c>
      <c r="J76">
        <f>YEAR(financials[[#This Row],[Schedule Delivery Date]])</f>
        <v>2026</v>
      </c>
      <c r="K76" s="7">
        <v>10</v>
      </c>
      <c r="L76" s="9">
        <v>46025</v>
      </c>
      <c r="M76" s="9">
        <v>46001</v>
      </c>
    </row>
    <row r="77" spans="1:13" x14ac:dyDescent="0.25">
      <c r="A77" t="s">
        <v>10</v>
      </c>
      <c r="B77">
        <v>251</v>
      </c>
      <c r="C77" t="s">
        <v>55</v>
      </c>
      <c r="D77" s="3" t="s">
        <v>33</v>
      </c>
      <c r="E77" s="1">
        <v>4895.5200000000004</v>
      </c>
      <c r="F77">
        <v>2914</v>
      </c>
      <c r="G77" s="1">
        <v>10</v>
      </c>
      <c r="H77" s="1">
        <v>12</v>
      </c>
      <c r="I77" s="3" t="str">
        <f>TEXT(financials[[#This Row],[Schedule Delivery Date]],"mmmm")</f>
        <v>January</v>
      </c>
      <c r="J77">
        <f>YEAR(financials[[#This Row],[Schedule Delivery Date]])</f>
        <v>2026</v>
      </c>
      <c r="K77" s="7">
        <v>10</v>
      </c>
      <c r="L77" s="9">
        <v>46025</v>
      </c>
      <c r="M77" s="9">
        <v>46025</v>
      </c>
    </row>
    <row r="78" spans="1:13" x14ac:dyDescent="0.25">
      <c r="A78" t="s">
        <v>10</v>
      </c>
      <c r="B78">
        <v>252</v>
      </c>
      <c r="C78" t="s">
        <v>55</v>
      </c>
      <c r="D78" s="3" t="s">
        <v>36</v>
      </c>
      <c r="E78" s="1">
        <v>4895.5200000000004</v>
      </c>
      <c r="F78">
        <v>2914</v>
      </c>
      <c r="G78" s="1">
        <v>260</v>
      </c>
      <c r="H78" s="1">
        <v>12</v>
      </c>
      <c r="I78" s="3" t="str">
        <f>TEXT(financials[[#This Row],[Schedule Delivery Date]],"mmmm")</f>
        <v>January</v>
      </c>
      <c r="J78">
        <f>YEAR(financials[[#This Row],[Schedule Delivery Date]])</f>
        <v>2026</v>
      </c>
      <c r="K78" s="7">
        <v>10</v>
      </c>
      <c r="L78" s="9">
        <v>46025</v>
      </c>
      <c r="M78" s="9">
        <v>46024</v>
      </c>
    </row>
    <row r="79" spans="1:13" x14ac:dyDescent="0.25">
      <c r="A79" t="s">
        <v>8</v>
      </c>
      <c r="B79">
        <v>253</v>
      </c>
      <c r="C79" t="s">
        <v>55</v>
      </c>
      <c r="D79" s="3" t="s">
        <v>33</v>
      </c>
      <c r="E79" s="1">
        <v>5381.25</v>
      </c>
      <c r="F79">
        <v>861</v>
      </c>
      <c r="G79" s="1">
        <v>10</v>
      </c>
      <c r="H79" s="1">
        <v>125</v>
      </c>
      <c r="I79" s="3" t="str">
        <f>TEXT(financials[[#This Row],[Schedule Delivery Date]],"mmmm")</f>
        <v>January</v>
      </c>
      <c r="J79">
        <f>YEAR(financials[[#This Row],[Schedule Delivery Date]])</f>
        <v>2026</v>
      </c>
      <c r="K79" s="7">
        <v>10</v>
      </c>
      <c r="L79" s="9">
        <v>46025</v>
      </c>
      <c r="M79" s="9">
        <v>46024</v>
      </c>
    </row>
    <row r="80" spans="1:13" x14ac:dyDescent="0.25">
      <c r="A80" t="s">
        <v>8</v>
      </c>
      <c r="B80">
        <v>254</v>
      </c>
      <c r="C80" t="s">
        <v>55</v>
      </c>
      <c r="D80" s="3" t="s">
        <v>34</v>
      </c>
      <c r="E80" s="1">
        <v>5381.25</v>
      </c>
      <c r="F80">
        <v>861</v>
      </c>
      <c r="G80" s="1">
        <v>120</v>
      </c>
      <c r="H80" s="1">
        <v>125</v>
      </c>
      <c r="I80" s="3" t="str">
        <f>TEXT(financials[[#This Row],[Schedule Delivery Date]],"mmmm")</f>
        <v>January</v>
      </c>
      <c r="J80">
        <f>YEAR(financials[[#This Row],[Schedule Delivery Date]])</f>
        <v>2026</v>
      </c>
      <c r="K80" s="7">
        <v>10</v>
      </c>
      <c r="L80" s="9">
        <v>46025</v>
      </c>
      <c r="M80" s="9">
        <v>46025</v>
      </c>
    </row>
    <row r="81" spans="1:13" x14ac:dyDescent="0.25">
      <c r="A81" t="s">
        <v>8</v>
      </c>
      <c r="B81">
        <v>255</v>
      </c>
      <c r="C81" t="s">
        <v>11</v>
      </c>
      <c r="D81" s="3" t="s">
        <v>33</v>
      </c>
      <c r="E81" s="1">
        <v>7533.75</v>
      </c>
      <c r="F81">
        <v>2009</v>
      </c>
      <c r="G81" s="1">
        <v>10</v>
      </c>
      <c r="H81" s="1">
        <v>125</v>
      </c>
      <c r="I81" s="3" t="str">
        <f>TEXT(financials[[#This Row],[Schedule Delivery Date]],"mmmm")</f>
        <v>January</v>
      </c>
      <c r="J81">
        <f>YEAR(financials[[#This Row],[Schedule Delivery Date]])</f>
        <v>2026</v>
      </c>
      <c r="K81" s="7">
        <v>10</v>
      </c>
      <c r="L81" s="9">
        <v>46025</v>
      </c>
      <c r="M81" s="9">
        <v>46024</v>
      </c>
    </row>
    <row r="82" spans="1:13" x14ac:dyDescent="0.25">
      <c r="A82" t="s">
        <v>8</v>
      </c>
      <c r="B82">
        <v>256</v>
      </c>
      <c r="C82" t="s">
        <v>11</v>
      </c>
      <c r="D82" s="3" t="s">
        <v>34</v>
      </c>
      <c r="E82" s="1">
        <v>7533.75</v>
      </c>
      <c r="F82">
        <v>2009</v>
      </c>
      <c r="G82" s="1">
        <v>120</v>
      </c>
      <c r="H82" s="1">
        <v>125</v>
      </c>
      <c r="I82" s="3" t="str">
        <f>TEXT(financials[[#This Row],[Schedule Delivery Date]],"mmmm")</f>
        <v>January</v>
      </c>
      <c r="J82">
        <f>YEAR(financials[[#This Row],[Schedule Delivery Date]])</f>
        <v>2026</v>
      </c>
      <c r="K82" s="7">
        <v>10</v>
      </c>
      <c r="L82" s="9">
        <v>46025</v>
      </c>
      <c r="M82" s="9">
        <v>46025</v>
      </c>
    </row>
    <row r="83" spans="1:13" x14ac:dyDescent="0.25">
      <c r="A83" t="s">
        <v>9</v>
      </c>
      <c r="B83">
        <v>257</v>
      </c>
      <c r="C83" t="s">
        <v>13</v>
      </c>
      <c r="D83" s="3" t="s">
        <v>34</v>
      </c>
      <c r="E83" s="1">
        <v>20139</v>
      </c>
      <c r="F83">
        <v>2877</v>
      </c>
      <c r="G83" s="1">
        <v>120</v>
      </c>
      <c r="H83" s="1">
        <v>350</v>
      </c>
      <c r="I83" s="3" t="str">
        <f>TEXT(financials[[#This Row],[Schedule Delivery Date]],"mmmm")</f>
        <v>January</v>
      </c>
      <c r="J83">
        <f>YEAR(financials[[#This Row],[Schedule Delivery Date]])</f>
        <v>2026</v>
      </c>
      <c r="K83" s="7">
        <v>10</v>
      </c>
      <c r="L83" s="9">
        <v>46025</v>
      </c>
      <c r="M83" s="9">
        <v>46025</v>
      </c>
    </row>
    <row r="84" spans="1:13" x14ac:dyDescent="0.25">
      <c r="A84" t="s">
        <v>9</v>
      </c>
      <c r="B84">
        <v>258</v>
      </c>
      <c r="C84" t="s">
        <v>13</v>
      </c>
      <c r="D84" s="3" t="s">
        <v>35</v>
      </c>
      <c r="E84" s="1">
        <v>20139</v>
      </c>
      <c r="F84">
        <v>2877</v>
      </c>
      <c r="G84" s="1">
        <v>250</v>
      </c>
      <c r="H84" s="1">
        <v>350</v>
      </c>
      <c r="I84" s="3" t="str">
        <f>TEXT(financials[[#This Row],[Schedule Delivery Date]],"mmmm")</f>
        <v>January</v>
      </c>
      <c r="J84">
        <f>YEAR(financials[[#This Row],[Schedule Delivery Date]])</f>
        <v>2026</v>
      </c>
      <c r="K84" s="7">
        <v>10</v>
      </c>
      <c r="L84" s="9">
        <v>46025</v>
      </c>
      <c r="M84" s="9">
        <v>46024</v>
      </c>
    </row>
    <row r="85" spans="1:13" x14ac:dyDescent="0.25">
      <c r="A85" t="s">
        <v>8</v>
      </c>
      <c r="B85">
        <v>259</v>
      </c>
      <c r="C85" t="s">
        <v>13</v>
      </c>
      <c r="D85" s="3" t="s">
        <v>31</v>
      </c>
      <c r="E85" s="1">
        <v>20343.75</v>
      </c>
      <c r="F85">
        <v>1085</v>
      </c>
      <c r="G85" s="1">
        <v>3</v>
      </c>
      <c r="H85" s="1">
        <v>125</v>
      </c>
      <c r="I85" s="3" t="str">
        <f>TEXT(financials[[#This Row],[Schedule Delivery Date]],"mmmm")</f>
        <v>January</v>
      </c>
      <c r="J85">
        <f>YEAR(financials[[#This Row],[Schedule Delivery Date]])</f>
        <v>2026</v>
      </c>
      <c r="K85" s="7">
        <v>10</v>
      </c>
      <c r="L85" s="9">
        <v>46025</v>
      </c>
      <c r="M85" s="9">
        <v>46025</v>
      </c>
    </row>
    <row r="86" spans="1:13" x14ac:dyDescent="0.25">
      <c r="A86" t="s">
        <v>8</v>
      </c>
      <c r="B86">
        <v>260</v>
      </c>
      <c r="C86" t="s">
        <v>13</v>
      </c>
      <c r="D86" s="3" t="s">
        <v>33</v>
      </c>
      <c r="E86" s="1">
        <v>20343.75</v>
      </c>
      <c r="F86">
        <v>1085</v>
      </c>
      <c r="G86" s="1">
        <v>10</v>
      </c>
      <c r="H86" s="1">
        <v>125</v>
      </c>
      <c r="I86" s="3" t="str">
        <f>TEXT(financials[[#This Row],[Schedule Delivery Date]],"mmmm")</f>
        <v>January</v>
      </c>
      <c r="J86">
        <f>YEAR(financials[[#This Row],[Schedule Delivery Date]])</f>
        <v>2026</v>
      </c>
      <c r="K86" s="7">
        <v>10</v>
      </c>
      <c r="L86" s="9">
        <v>46025</v>
      </c>
      <c r="M86" s="9">
        <v>46024</v>
      </c>
    </row>
    <row r="87" spans="1:13" x14ac:dyDescent="0.25">
      <c r="A87" t="s">
        <v>6</v>
      </c>
      <c r="B87">
        <v>261</v>
      </c>
      <c r="C87" t="s">
        <v>13</v>
      </c>
      <c r="D87" s="3" t="s">
        <v>31</v>
      </c>
      <c r="E87" s="1">
        <v>24252</v>
      </c>
      <c r="F87">
        <v>2021</v>
      </c>
      <c r="G87" s="1">
        <v>3</v>
      </c>
      <c r="H87" s="1">
        <v>300</v>
      </c>
      <c r="I87" s="3" t="str">
        <f>TEXT(financials[[#This Row],[Schedule Delivery Date]],"mmmm")</f>
        <v>January</v>
      </c>
      <c r="J87">
        <f>YEAR(financials[[#This Row],[Schedule Delivery Date]])</f>
        <v>2026</v>
      </c>
      <c r="K87" s="7">
        <v>10</v>
      </c>
      <c r="L87" s="9">
        <v>46025</v>
      </c>
      <c r="M87" s="9">
        <v>46025</v>
      </c>
    </row>
    <row r="88" spans="1:13" x14ac:dyDescent="0.25">
      <c r="A88" t="s">
        <v>6</v>
      </c>
      <c r="B88">
        <v>262</v>
      </c>
      <c r="C88" t="s">
        <v>13</v>
      </c>
      <c r="D88" s="3" t="s">
        <v>32</v>
      </c>
      <c r="E88" s="1">
        <v>24252</v>
      </c>
      <c r="F88">
        <v>2021</v>
      </c>
      <c r="G88" s="1">
        <v>5</v>
      </c>
      <c r="H88" s="1">
        <v>300</v>
      </c>
      <c r="I88" s="3" t="str">
        <f>TEXT(financials[[#This Row],[Schedule Delivery Date]],"mmmm")</f>
        <v>January</v>
      </c>
      <c r="J88">
        <f>YEAR(financials[[#This Row],[Schedule Delivery Date]])</f>
        <v>2026</v>
      </c>
      <c r="K88" s="7">
        <v>10</v>
      </c>
      <c r="L88" s="9">
        <v>46025</v>
      </c>
      <c r="M88" s="9">
        <v>46028</v>
      </c>
    </row>
    <row r="89" spans="1:13" x14ac:dyDescent="0.25">
      <c r="A89" t="s">
        <v>6</v>
      </c>
      <c r="B89">
        <v>263</v>
      </c>
      <c r="C89" t="s">
        <v>14</v>
      </c>
      <c r="D89" s="3" t="s">
        <v>32</v>
      </c>
      <c r="E89" s="1">
        <v>24570</v>
      </c>
      <c r="F89">
        <v>546</v>
      </c>
      <c r="G89" s="1">
        <v>5</v>
      </c>
      <c r="H89" s="1">
        <v>300</v>
      </c>
      <c r="I89" s="3" t="str">
        <f>TEXT(financials[[#This Row],[Schedule Delivery Date]],"mmmm")</f>
        <v>January</v>
      </c>
      <c r="J89">
        <f>YEAR(financials[[#This Row],[Schedule Delivery Date]])</f>
        <v>2026</v>
      </c>
      <c r="K89" s="7">
        <v>10</v>
      </c>
      <c r="L89" s="9">
        <v>46025</v>
      </c>
      <c r="M89" s="9">
        <v>46024</v>
      </c>
    </row>
    <row r="90" spans="1:13" x14ac:dyDescent="0.25">
      <c r="A90" t="s">
        <v>6</v>
      </c>
      <c r="B90">
        <v>264</v>
      </c>
      <c r="C90" t="s">
        <v>14</v>
      </c>
      <c r="D90" s="3" t="s">
        <v>36</v>
      </c>
      <c r="E90" s="1">
        <v>24570</v>
      </c>
      <c r="F90">
        <v>546</v>
      </c>
      <c r="G90" s="1">
        <v>260</v>
      </c>
      <c r="H90" s="1">
        <v>300</v>
      </c>
      <c r="I90" s="3" t="str">
        <f>TEXT(financials[[#This Row],[Schedule Delivery Date]],"mmmm")</f>
        <v>January</v>
      </c>
      <c r="J90">
        <f>YEAR(financials[[#This Row],[Schedule Delivery Date]])</f>
        <v>2026</v>
      </c>
      <c r="K90" s="7">
        <v>10</v>
      </c>
      <c r="L90" s="9">
        <v>46025</v>
      </c>
      <c r="M90" s="9">
        <v>46024</v>
      </c>
    </row>
    <row r="91" spans="1:13" x14ac:dyDescent="0.25">
      <c r="A91" t="s">
        <v>9</v>
      </c>
      <c r="B91">
        <v>265</v>
      </c>
      <c r="C91" t="s">
        <v>12</v>
      </c>
      <c r="D91" s="3" t="s">
        <v>34</v>
      </c>
      <c r="E91" s="1">
        <v>30478</v>
      </c>
      <c r="F91">
        <v>2177</v>
      </c>
      <c r="G91" s="1">
        <v>120</v>
      </c>
      <c r="H91" s="1">
        <v>350</v>
      </c>
      <c r="I91" s="3" t="str">
        <f>TEXT(financials[[#This Row],[Schedule Delivery Date]],"mmmm")</f>
        <v>January</v>
      </c>
      <c r="J91">
        <f>YEAR(financials[[#This Row],[Schedule Delivery Date]])</f>
        <v>2026</v>
      </c>
      <c r="K91" s="7">
        <v>10</v>
      </c>
      <c r="L91" s="9">
        <v>46025</v>
      </c>
      <c r="M91" s="9">
        <v>46024</v>
      </c>
    </row>
    <row r="92" spans="1:13" x14ac:dyDescent="0.25">
      <c r="A92" t="s">
        <v>9</v>
      </c>
      <c r="B92">
        <v>266</v>
      </c>
      <c r="C92" t="s">
        <v>12</v>
      </c>
      <c r="D92" s="3" t="s">
        <v>35</v>
      </c>
      <c r="E92" s="1">
        <v>30478</v>
      </c>
      <c r="F92">
        <v>2177</v>
      </c>
      <c r="G92" s="1">
        <v>250</v>
      </c>
      <c r="H92" s="1">
        <v>350</v>
      </c>
      <c r="I92" s="3" t="str">
        <f>TEXT(financials[[#This Row],[Schedule Delivery Date]],"mmmm")</f>
        <v>January</v>
      </c>
      <c r="J92">
        <f>YEAR(financials[[#This Row],[Schedule Delivery Date]])</f>
        <v>2026</v>
      </c>
      <c r="K92" s="7">
        <v>10</v>
      </c>
      <c r="L92" s="9">
        <v>46025</v>
      </c>
      <c r="M92" s="9">
        <v>46024</v>
      </c>
    </row>
    <row r="93" spans="1:13" x14ac:dyDescent="0.25">
      <c r="A93" t="s">
        <v>8</v>
      </c>
      <c r="B93">
        <v>267</v>
      </c>
      <c r="C93" t="s">
        <v>14</v>
      </c>
      <c r="D93" s="3" t="s">
        <v>31</v>
      </c>
      <c r="E93" s="1">
        <v>32340</v>
      </c>
      <c r="F93">
        <v>2156</v>
      </c>
      <c r="G93" s="1">
        <v>3</v>
      </c>
      <c r="H93" s="1">
        <v>125</v>
      </c>
      <c r="I93" s="3" t="str">
        <f>TEXT(financials[[#This Row],[Schedule Delivery Date]],"mmmm")</f>
        <v>January</v>
      </c>
      <c r="J93">
        <f>YEAR(financials[[#This Row],[Schedule Delivery Date]])</f>
        <v>2026</v>
      </c>
      <c r="K93" s="7">
        <v>10</v>
      </c>
      <c r="L93" s="9">
        <v>46025</v>
      </c>
      <c r="M93" s="9">
        <v>46025</v>
      </c>
    </row>
    <row r="94" spans="1:13" x14ac:dyDescent="0.25">
      <c r="A94" t="s">
        <v>8</v>
      </c>
      <c r="B94">
        <v>268</v>
      </c>
      <c r="C94" t="s">
        <v>14</v>
      </c>
      <c r="D94" s="3" t="s">
        <v>33</v>
      </c>
      <c r="E94" s="1">
        <v>32340</v>
      </c>
      <c r="F94">
        <v>2156</v>
      </c>
      <c r="G94" s="1">
        <v>10</v>
      </c>
      <c r="H94" s="1">
        <v>125</v>
      </c>
      <c r="I94" s="3" t="str">
        <f>TEXT(financials[[#This Row],[Schedule Delivery Date]],"mmmm")</f>
        <v>January</v>
      </c>
      <c r="J94">
        <f>YEAR(financials[[#This Row],[Schedule Delivery Date]])</f>
        <v>2026</v>
      </c>
      <c r="K94" s="7">
        <v>10</v>
      </c>
      <c r="L94" s="9">
        <v>46025</v>
      </c>
      <c r="M94" s="9">
        <v>46025</v>
      </c>
    </row>
    <row r="95" spans="1:13" x14ac:dyDescent="0.25">
      <c r="A95" t="s">
        <v>8</v>
      </c>
      <c r="B95">
        <v>269</v>
      </c>
      <c r="C95" t="s">
        <v>12</v>
      </c>
      <c r="D95" s="3" t="s">
        <v>31</v>
      </c>
      <c r="E95" s="1">
        <v>33563.75</v>
      </c>
      <c r="F95">
        <v>2441</v>
      </c>
      <c r="G95" s="1">
        <v>3</v>
      </c>
      <c r="H95" s="1">
        <v>125</v>
      </c>
      <c r="I95" s="3" t="str">
        <f>TEXT(financials[[#This Row],[Schedule Delivery Date]],"mmmm")</f>
        <v>January</v>
      </c>
      <c r="J95">
        <f>YEAR(financials[[#This Row],[Schedule Delivery Date]])</f>
        <v>2026</v>
      </c>
      <c r="K95" s="7">
        <v>10</v>
      </c>
      <c r="L95" s="9">
        <v>46025</v>
      </c>
      <c r="M95" s="9">
        <v>46025</v>
      </c>
    </row>
    <row r="96" spans="1:13" x14ac:dyDescent="0.25">
      <c r="A96" t="s">
        <v>8</v>
      </c>
      <c r="B96">
        <v>270</v>
      </c>
      <c r="C96" t="s">
        <v>12</v>
      </c>
      <c r="D96" s="3" t="s">
        <v>33</v>
      </c>
      <c r="E96" s="1">
        <v>33563.75</v>
      </c>
      <c r="F96">
        <v>2441</v>
      </c>
      <c r="G96" s="1">
        <v>10</v>
      </c>
      <c r="H96" s="1">
        <v>125</v>
      </c>
      <c r="I96" s="3" t="str">
        <f>TEXT(financials[[#This Row],[Schedule Delivery Date]],"mmmm")</f>
        <v>January</v>
      </c>
      <c r="J96">
        <f>YEAR(financials[[#This Row],[Schedule Delivery Date]])</f>
        <v>2026</v>
      </c>
      <c r="K96" s="7">
        <v>10</v>
      </c>
      <c r="L96" s="9">
        <v>46025</v>
      </c>
      <c r="M96" s="9">
        <v>46025</v>
      </c>
    </row>
    <row r="97" spans="1:13" x14ac:dyDescent="0.25">
      <c r="A97" t="s">
        <v>9</v>
      </c>
      <c r="B97">
        <v>271</v>
      </c>
      <c r="C97" t="s">
        <v>11</v>
      </c>
      <c r="D97" s="3" t="s">
        <v>34</v>
      </c>
      <c r="E97" s="1">
        <v>39973.5</v>
      </c>
      <c r="F97">
        <v>1269</v>
      </c>
      <c r="G97" s="1">
        <v>120</v>
      </c>
      <c r="H97" s="1">
        <v>350</v>
      </c>
      <c r="I97" s="3" t="str">
        <f>TEXT(financials[[#This Row],[Schedule Delivery Date]],"mmmm")</f>
        <v>January</v>
      </c>
      <c r="J97">
        <f>YEAR(financials[[#This Row],[Schedule Delivery Date]])</f>
        <v>2026</v>
      </c>
      <c r="K97" s="7">
        <v>10</v>
      </c>
      <c r="L97" s="9">
        <v>46025</v>
      </c>
      <c r="M97" s="9">
        <v>46024</v>
      </c>
    </row>
    <row r="98" spans="1:13" x14ac:dyDescent="0.25">
      <c r="A98" t="s">
        <v>9</v>
      </c>
      <c r="B98">
        <v>272</v>
      </c>
      <c r="C98" t="s">
        <v>11</v>
      </c>
      <c r="D98" s="3" t="s">
        <v>36</v>
      </c>
      <c r="E98" s="1">
        <v>39973.5</v>
      </c>
      <c r="F98">
        <v>1269</v>
      </c>
      <c r="G98" s="1">
        <v>260</v>
      </c>
      <c r="H98" s="1">
        <v>350</v>
      </c>
      <c r="I98" s="3" t="str">
        <f>TEXT(financials[[#This Row],[Schedule Delivery Date]],"mmmm")</f>
        <v>January</v>
      </c>
      <c r="J98">
        <f>YEAR(financials[[#This Row],[Schedule Delivery Date]])</f>
        <v>2026</v>
      </c>
      <c r="K98" s="7">
        <v>10</v>
      </c>
      <c r="L98" s="9">
        <v>46025</v>
      </c>
      <c r="M98" s="9">
        <v>46025</v>
      </c>
    </row>
    <row r="99" spans="1:13" x14ac:dyDescent="0.25">
      <c r="A99" t="s">
        <v>9</v>
      </c>
      <c r="B99">
        <v>273</v>
      </c>
      <c r="C99" t="s">
        <v>55</v>
      </c>
      <c r="D99" s="3" t="s">
        <v>34</v>
      </c>
      <c r="E99" s="1">
        <v>41412</v>
      </c>
      <c r="F99">
        <v>986</v>
      </c>
      <c r="G99" s="1">
        <v>120</v>
      </c>
      <c r="H99" s="1">
        <v>350</v>
      </c>
      <c r="I99" s="3" t="str">
        <f>TEXT(financials[[#This Row],[Schedule Delivery Date]],"mmmm")</f>
        <v>January</v>
      </c>
      <c r="J99">
        <f>YEAR(financials[[#This Row],[Schedule Delivery Date]])</f>
        <v>2026</v>
      </c>
      <c r="K99" s="7">
        <v>10</v>
      </c>
      <c r="L99" s="9">
        <v>46025</v>
      </c>
      <c r="M99" s="9">
        <v>46025</v>
      </c>
    </row>
    <row r="100" spans="1:13" x14ac:dyDescent="0.25">
      <c r="A100" t="s">
        <v>9</v>
      </c>
      <c r="B100">
        <v>274</v>
      </c>
      <c r="C100" t="s">
        <v>55</v>
      </c>
      <c r="D100" s="3" t="s">
        <v>35</v>
      </c>
      <c r="E100" s="1">
        <v>41412</v>
      </c>
      <c r="F100">
        <v>986</v>
      </c>
      <c r="G100" s="1">
        <v>250</v>
      </c>
      <c r="H100" s="1">
        <v>350</v>
      </c>
      <c r="I100" s="3" t="str">
        <f>TEXT(financials[[#This Row],[Schedule Delivery Date]],"mmmm")</f>
        <v>January</v>
      </c>
      <c r="J100">
        <f>YEAR(financials[[#This Row],[Schedule Delivery Date]])</f>
        <v>2026</v>
      </c>
      <c r="K100" s="7">
        <v>10</v>
      </c>
      <c r="L100" s="9">
        <v>46025</v>
      </c>
      <c r="M100" s="9">
        <v>46025</v>
      </c>
    </row>
    <row r="101" spans="1:13" x14ac:dyDescent="0.25">
      <c r="A101" t="s">
        <v>6</v>
      </c>
      <c r="B101">
        <v>275</v>
      </c>
      <c r="C101" t="s">
        <v>55</v>
      </c>
      <c r="D101" s="3" t="s">
        <v>31</v>
      </c>
      <c r="E101" s="1">
        <v>42420</v>
      </c>
      <c r="F101">
        <v>1010</v>
      </c>
      <c r="G101" s="1">
        <v>3</v>
      </c>
      <c r="H101" s="1">
        <v>300</v>
      </c>
      <c r="I101" s="3" t="str">
        <f>TEXT(financials[[#This Row],[Schedule Delivery Date]],"mmmm")</f>
        <v>January</v>
      </c>
      <c r="J101">
        <f>YEAR(financials[[#This Row],[Schedule Delivery Date]])</f>
        <v>2026</v>
      </c>
      <c r="K101" s="7">
        <v>10</v>
      </c>
      <c r="L101" s="9">
        <v>46025</v>
      </c>
      <c r="M101" s="9">
        <v>46025</v>
      </c>
    </row>
    <row r="102" spans="1:13" x14ac:dyDescent="0.25">
      <c r="A102" t="s">
        <v>6</v>
      </c>
      <c r="B102">
        <v>276</v>
      </c>
      <c r="C102" t="s">
        <v>55</v>
      </c>
      <c r="D102" s="3" t="s">
        <v>35</v>
      </c>
      <c r="E102" s="1">
        <v>42420</v>
      </c>
      <c r="F102">
        <v>1010</v>
      </c>
      <c r="G102" s="1">
        <v>250</v>
      </c>
      <c r="H102" s="1">
        <v>300</v>
      </c>
      <c r="I102" s="3" t="str">
        <f>TEXT(financials[[#This Row],[Schedule Delivery Date]],"mmmm")</f>
        <v>January</v>
      </c>
      <c r="J102">
        <f>YEAR(financials[[#This Row],[Schedule Delivery Date]])</f>
        <v>2026</v>
      </c>
      <c r="K102" s="7">
        <v>10</v>
      </c>
      <c r="L102" s="9">
        <v>46025</v>
      </c>
      <c r="M102" s="9">
        <v>46025</v>
      </c>
    </row>
    <row r="103" spans="1:13" x14ac:dyDescent="0.25">
      <c r="A103" t="s">
        <v>6</v>
      </c>
      <c r="B103">
        <v>277</v>
      </c>
      <c r="C103" t="s">
        <v>12</v>
      </c>
      <c r="D103" s="3" t="s">
        <v>31</v>
      </c>
      <c r="E103" s="1">
        <v>45801</v>
      </c>
      <c r="F103">
        <v>2181</v>
      </c>
      <c r="G103" s="1">
        <v>3</v>
      </c>
      <c r="H103" s="1">
        <v>300</v>
      </c>
      <c r="I103" s="3" t="str">
        <f>TEXT(financials[[#This Row],[Schedule Delivery Date]],"mmmm")</f>
        <v>January</v>
      </c>
      <c r="J103">
        <f>YEAR(financials[[#This Row],[Schedule Delivery Date]])</f>
        <v>2026</v>
      </c>
      <c r="K103" s="7">
        <v>10</v>
      </c>
      <c r="L103" s="9">
        <v>46025</v>
      </c>
      <c r="M103" s="9">
        <v>46025</v>
      </c>
    </row>
    <row r="104" spans="1:13" x14ac:dyDescent="0.25">
      <c r="A104" t="s">
        <v>6</v>
      </c>
      <c r="B104">
        <v>278</v>
      </c>
      <c r="C104" t="s">
        <v>12</v>
      </c>
      <c r="D104" s="3" t="s">
        <v>32</v>
      </c>
      <c r="E104" s="1">
        <v>45801</v>
      </c>
      <c r="F104">
        <v>2181</v>
      </c>
      <c r="G104" s="1">
        <v>5</v>
      </c>
      <c r="H104" s="1">
        <v>300</v>
      </c>
      <c r="I104" s="3" t="str">
        <f>TEXT(financials[[#This Row],[Schedule Delivery Date]],"mmmm")</f>
        <v>January</v>
      </c>
      <c r="J104">
        <f>YEAR(financials[[#This Row],[Schedule Delivery Date]])</f>
        <v>2026</v>
      </c>
      <c r="K104" s="7">
        <v>10</v>
      </c>
      <c r="L104" s="9">
        <v>46025</v>
      </c>
      <c r="M104" s="9">
        <v>46025</v>
      </c>
    </row>
    <row r="105" spans="1:13" x14ac:dyDescent="0.25">
      <c r="A105" t="s">
        <v>6</v>
      </c>
      <c r="B105">
        <v>279</v>
      </c>
      <c r="C105" t="s">
        <v>11</v>
      </c>
      <c r="D105" s="3" t="s">
        <v>31</v>
      </c>
      <c r="E105" s="1">
        <v>62832</v>
      </c>
      <c r="F105">
        <v>1496</v>
      </c>
      <c r="G105" s="1">
        <v>3</v>
      </c>
      <c r="H105" s="1">
        <v>300</v>
      </c>
      <c r="I105" s="3" t="str">
        <f>TEXT(financials[[#This Row],[Schedule Delivery Date]],"mmmm")</f>
        <v>January</v>
      </c>
      <c r="J105">
        <f>YEAR(financials[[#This Row],[Schedule Delivery Date]])</f>
        <v>2026</v>
      </c>
      <c r="K105" s="7">
        <v>10</v>
      </c>
      <c r="L105" s="9">
        <v>46034</v>
      </c>
      <c r="M105" s="9">
        <v>46037</v>
      </c>
    </row>
    <row r="106" spans="1:13" x14ac:dyDescent="0.25">
      <c r="A106" t="s">
        <v>6</v>
      </c>
      <c r="B106">
        <v>280</v>
      </c>
      <c r="C106" t="s">
        <v>11</v>
      </c>
      <c r="D106" s="3" t="s">
        <v>35</v>
      </c>
      <c r="E106" s="1">
        <v>62832</v>
      </c>
      <c r="F106">
        <v>1496</v>
      </c>
      <c r="G106" s="1">
        <v>250</v>
      </c>
      <c r="H106" s="1">
        <v>300</v>
      </c>
      <c r="I106" s="3" t="str">
        <f>TEXT(financials[[#This Row],[Schedule Delivery Date]],"mmmm")</f>
        <v>January</v>
      </c>
      <c r="J106">
        <f>YEAR(financials[[#This Row],[Schedule Delivery Date]])</f>
        <v>2026</v>
      </c>
      <c r="K106" s="7">
        <v>10</v>
      </c>
      <c r="L106" s="9">
        <v>46025</v>
      </c>
      <c r="M106" s="9">
        <v>46025</v>
      </c>
    </row>
    <row r="107" spans="1:13" x14ac:dyDescent="0.25">
      <c r="A107" t="s">
        <v>9</v>
      </c>
      <c r="B107">
        <v>281</v>
      </c>
      <c r="C107" t="s">
        <v>12</v>
      </c>
      <c r="D107" s="3" t="s">
        <v>34</v>
      </c>
      <c r="E107" s="1">
        <v>44.73</v>
      </c>
      <c r="F107">
        <v>639</v>
      </c>
      <c r="G107" s="1">
        <v>120</v>
      </c>
      <c r="H107" s="1">
        <v>7</v>
      </c>
      <c r="I107" s="3" t="str">
        <f>TEXT(financials[[#This Row],[Schedule Delivery Date]],"mmmm")</f>
        <v>February</v>
      </c>
      <c r="J107">
        <f>YEAR(financials[[#This Row],[Schedule Delivery Date]])</f>
        <v>2026</v>
      </c>
      <c r="K107" s="7">
        <v>11</v>
      </c>
      <c r="L107" s="9">
        <v>46062</v>
      </c>
      <c r="M107" s="9">
        <v>46008</v>
      </c>
    </row>
    <row r="108" spans="1:13" x14ac:dyDescent="0.25">
      <c r="A108" t="s">
        <v>10</v>
      </c>
      <c r="B108">
        <v>282</v>
      </c>
      <c r="C108" t="s">
        <v>14</v>
      </c>
      <c r="D108" s="3" t="s">
        <v>32</v>
      </c>
      <c r="E108" s="1">
        <v>165.6</v>
      </c>
      <c r="F108">
        <v>690</v>
      </c>
      <c r="G108" s="1">
        <v>5</v>
      </c>
      <c r="H108" s="1">
        <v>12</v>
      </c>
      <c r="I108" s="3" t="str">
        <f>TEXT(financials[[#This Row],[Schedule Delivery Date]],"mmmm")</f>
        <v>January</v>
      </c>
      <c r="J108">
        <f>YEAR(financials[[#This Row],[Schedule Delivery Date]])</f>
        <v>2026</v>
      </c>
      <c r="K108" s="7">
        <v>11</v>
      </c>
      <c r="L108" s="9">
        <v>46025</v>
      </c>
      <c r="M108" s="9">
        <v>46025</v>
      </c>
    </row>
    <row r="109" spans="1:13" x14ac:dyDescent="0.25">
      <c r="A109" t="s">
        <v>9</v>
      </c>
      <c r="B109">
        <v>283</v>
      </c>
      <c r="C109" t="s">
        <v>55</v>
      </c>
      <c r="D109" s="3" t="s">
        <v>34</v>
      </c>
      <c r="E109" s="1">
        <v>268.02999999999997</v>
      </c>
      <c r="F109">
        <v>547</v>
      </c>
      <c r="G109" s="1">
        <v>120</v>
      </c>
      <c r="H109" s="1">
        <v>7</v>
      </c>
      <c r="I109" s="3" t="str">
        <f>TEXT(financials[[#This Row],[Schedule Delivery Date]],"mmmm")</f>
        <v>January</v>
      </c>
      <c r="J109">
        <f>YEAR(financials[[#This Row],[Schedule Delivery Date]])</f>
        <v>2026</v>
      </c>
      <c r="K109" s="7">
        <v>11</v>
      </c>
      <c r="L109" s="9">
        <v>46025</v>
      </c>
      <c r="M109" s="9">
        <v>46025</v>
      </c>
    </row>
    <row r="110" spans="1:13" x14ac:dyDescent="0.25">
      <c r="A110" t="s">
        <v>9</v>
      </c>
      <c r="B110">
        <v>284</v>
      </c>
      <c r="C110" t="s">
        <v>12</v>
      </c>
      <c r="D110" s="3" t="s">
        <v>36</v>
      </c>
      <c r="E110" s="1">
        <v>376.4</v>
      </c>
      <c r="F110">
        <v>941</v>
      </c>
      <c r="G110" s="1">
        <v>260</v>
      </c>
      <c r="H110" s="1">
        <v>20</v>
      </c>
      <c r="I110" s="3" t="str">
        <f>TEXT(financials[[#This Row],[Schedule Delivery Date]],"mmmm")</f>
        <v>January</v>
      </c>
      <c r="J110">
        <f>YEAR(financials[[#This Row],[Schedule Delivery Date]])</f>
        <v>2026</v>
      </c>
      <c r="K110" s="7">
        <v>11</v>
      </c>
      <c r="L110" s="9">
        <v>46025</v>
      </c>
      <c r="M110" s="9">
        <v>46025</v>
      </c>
    </row>
    <row r="111" spans="1:13" x14ac:dyDescent="0.25">
      <c r="A111" t="s">
        <v>9</v>
      </c>
      <c r="B111">
        <v>285</v>
      </c>
      <c r="C111" t="s">
        <v>55</v>
      </c>
      <c r="D111" s="3" t="s">
        <v>36</v>
      </c>
      <c r="E111" s="1">
        <v>494.4</v>
      </c>
      <c r="F111">
        <v>1236</v>
      </c>
      <c r="G111" s="1">
        <v>260</v>
      </c>
      <c r="H111" s="1">
        <v>20</v>
      </c>
      <c r="I111" s="3" t="str">
        <f>TEXT(financials[[#This Row],[Schedule Delivery Date]],"mmmm")</f>
        <v>January</v>
      </c>
      <c r="J111">
        <f>YEAR(financials[[#This Row],[Schedule Delivery Date]])</f>
        <v>2026</v>
      </c>
      <c r="K111" s="7">
        <v>11</v>
      </c>
      <c r="L111" s="9">
        <v>46025</v>
      </c>
      <c r="M111" s="9">
        <v>46025</v>
      </c>
    </row>
    <row r="112" spans="1:13" x14ac:dyDescent="0.25">
      <c r="A112" t="s">
        <v>9</v>
      </c>
      <c r="B112">
        <v>286</v>
      </c>
      <c r="C112" t="s">
        <v>14</v>
      </c>
      <c r="D112" s="3" t="s">
        <v>34</v>
      </c>
      <c r="E112" s="1">
        <v>559.86</v>
      </c>
      <c r="F112">
        <v>1333</v>
      </c>
      <c r="G112" s="1">
        <v>120</v>
      </c>
      <c r="H112" s="1">
        <v>7</v>
      </c>
      <c r="I112" s="3" t="str">
        <f>TEXT(financials[[#This Row],[Schedule Delivery Date]],"mmmm")</f>
        <v>January</v>
      </c>
      <c r="J112">
        <f>YEAR(financials[[#This Row],[Schedule Delivery Date]])</f>
        <v>2026</v>
      </c>
      <c r="K112" s="7">
        <v>11</v>
      </c>
      <c r="L112" s="9">
        <v>46025</v>
      </c>
      <c r="M112" s="9">
        <v>46025</v>
      </c>
    </row>
    <row r="113" spans="1:13" x14ac:dyDescent="0.25">
      <c r="A113" t="s">
        <v>7</v>
      </c>
      <c r="B113">
        <v>287</v>
      </c>
      <c r="C113" t="s">
        <v>12</v>
      </c>
      <c r="D113" s="3" t="s">
        <v>31</v>
      </c>
      <c r="E113" s="1">
        <v>588</v>
      </c>
      <c r="F113">
        <v>490</v>
      </c>
      <c r="G113" s="1">
        <v>3</v>
      </c>
      <c r="H113" s="1">
        <v>15</v>
      </c>
      <c r="I113" s="3" t="str">
        <f>TEXT(financials[[#This Row],[Schedule Delivery Date]],"mmmm")</f>
        <v>January</v>
      </c>
      <c r="J113">
        <f>YEAR(financials[[#This Row],[Schedule Delivery Date]])</f>
        <v>2026</v>
      </c>
      <c r="K113" s="7">
        <v>11</v>
      </c>
      <c r="L113" s="9">
        <v>46025</v>
      </c>
      <c r="M113" s="9">
        <v>46025</v>
      </c>
    </row>
    <row r="114" spans="1:13" x14ac:dyDescent="0.25">
      <c r="A114" t="s">
        <v>9</v>
      </c>
      <c r="B114">
        <v>288</v>
      </c>
      <c r="C114" t="s">
        <v>11</v>
      </c>
      <c r="D114" s="3" t="s">
        <v>34</v>
      </c>
      <c r="E114" s="1">
        <v>1392.16</v>
      </c>
      <c r="F114">
        <v>1808</v>
      </c>
      <c r="G114" s="1">
        <v>120</v>
      </c>
      <c r="H114" s="1">
        <v>7</v>
      </c>
      <c r="I114" s="3" t="str">
        <f>TEXT(financials[[#This Row],[Schedule Delivery Date]],"mmmm")</f>
        <v>January</v>
      </c>
      <c r="J114">
        <f>YEAR(financials[[#This Row],[Schedule Delivery Date]])</f>
        <v>2026</v>
      </c>
      <c r="K114" s="7">
        <v>11</v>
      </c>
      <c r="L114" s="9">
        <v>46025</v>
      </c>
      <c r="M114" s="9">
        <v>46025</v>
      </c>
    </row>
    <row r="115" spans="1:13" x14ac:dyDescent="0.25">
      <c r="A115" t="s">
        <v>10</v>
      </c>
      <c r="B115">
        <v>289</v>
      </c>
      <c r="C115" t="s">
        <v>13</v>
      </c>
      <c r="D115" s="3" t="s">
        <v>32</v>
      </c>
      <c r="E115" s="1">
        <v>1405.2</v>
      </c>
      <c r="F115">
        <v>2342</v>
      </c>
      <c r="G115" s="1">
        <v>5</v>
      </c>
      <c r="H115" s="1">
        <v>12</v>
      </c>
      <c r="I115" s="3" t="str">
        <f>TEXT(financials[[#This Row],[Schedule Delivery Date]],"mmmm")</f>
        <v>January</v>
      </c>
      <c r="J115">
        <f>YEAR(financials[[#This Row],[Schedule Delivery Date]])</f>
        <v>2026</v>
      </c>
      <c r="K115" s="7">
        <v>11</v>
      </c>
      <c r="L115" s="9">
        <v>46025</v>
      </c>
      <c r="M115" s="9">
        <v>46025</v>
      </c>
    </row>
    <row r="116" spans="1:13" x14ac:dyDescent="0.25">
      <c r="A116" t="s">
        <v>9</v>
      </c>
      <c r="B116">
        <v>290</v>
      </c>
      <c r="C116" t="s">
        <v>11</v>
      </c>
      <c r="D116" s="3" t="s">
        <v>36</v>
      </c>
      <c r="E116" s="1">
        <v>1565.2</v>
      </c>
      <c r="F116">
        <v>1118</v>
      </c>
      <c r="G116" s="1">
        <v>260</v>
      </c>
      <c r="H116" s="1">
        <v>20</v>
      </c>
      <c r="I116" s="3" t="str">
        <f>TEXT(financials[[#This Row],[Schedule Delivery Date]],"mmmm")</f>
        <v>January</v>
      </c>
      <c r="J116">
        <f>YEAR(financials[[#This Row],[Schedule Delivery Date]])</f>
        <v>2026</v>
      </c>
      <c r="K116" s="7">
        <v>11</v>
      </c>
      <c r="L116" s="9">
        <v>46025</v>
      </c>
      <c r="M116" s="9">
        <v>46025</v>
      </c>
    </row>
    <row r="117" spans="1:13" x14ac:dyDescent="0.25">
      <c r="A117" t="s">
        <v>7</v>
      </c>
      <c r="B117">
        <v>291</v>
      </c>
      <c r="C117" t="s">
        <v>55</v>
      </c>
      <c r="D117" s="3" t="s">
        <v>31</v>
      </c>
      <c r="E117" s="1">
        <v>1827</v>
      </c>
      <c r="F117">
        <v>2030</v>
      </c>
      <c r="G117" s="1">
        <v>3</v>
      </c>
      <c r="H117" s="1">
        <v>15</v>
      </c>
      <c r="I117" s="3" t="str">
        <f>TEXT(financials[[#This Row],[Schedule Delivery Date]],"mmmm")</f>
        <v>January</v>
      </c>
      <c r="J117">
        <f>YEAR(financials[[#This Row],[Schedule Delivery Date]])</f>
        <v>2026</v>
      </c>
      <c r="K117" s="7">
        <v>11</v>
      </c>
      <c r="L117" s="9">
        <v>46025</v>
      </c>
      <c r="M117" s="9">
        <v>46025</v>
      </c>
    </row>
    <row r="118" spans="1:13" x14ac:dyDescent="0.25">
      <c r="A118" t="s">
        <v>9</v>
      </c>
      <c r="B118">
        <v>292</v>
      </c>
      <c r="C118" t="s">
        <v>13</v>
      </c>
      <c r="D118" s="3" t="s">
        <v>34</v>
      </c>
      <c r="E118" s="1">
        <v>1865.5</v>
      </c>
      <c r="F118">
        <v>2665</v>
      </c>
      <c r="G118" s="1">
        <v>120</v>
      </c>
      <c r="H118" s="1">
        <v>7</v>
      </c>
      <c r="I118" s="3" t="str">
        <f>TEXT(financials[[#This Row],[Schedule Delivery Date]],"mmmm")</f>
        <v>January</v>
      </c>
      <c r="J118">
        <f>YEAR(financials[[#This Row],[Schedule Delivery Date]])</f>
        <v>2026</v>
      </c>
      <c r="K118" s="7">
        <v>11</v>
      </c>
      <c r="L118" s="9">
        <v>46025</v>
      </c>
      <c r="M118" s="9">
        <v>46024</v>
      </c>
    </row>
    <row r="119" spans="1:13" x14ac:dyDescent="0.25">
      <c r="A119" t="s">
        <v>10</v>
      </c>
      <c r="B119">
        <v>293</v>
      </c>
      <c r="C119" t="s">
        <v>55</v>
      </c>
      <c r="D119" s="3" t="s">
        <v>32</v>
      </c>
      <c r="E119" s="1">
        <v>1960.56</v>
      </c>
      <c r="F119">
        <v>2723</v>
      </c>
      <c r="G119" s="1">
        <v>5</v>
      </c>
      <c r="H119" s="1">
        <v>12</v>
      </c>
      <c r="I119" s="3" t="str">
        <f>TEXT(financials[[#This Row],[Schedule Delivery Date]],"mmmm")</f>
        <v>January</v>
      </c>
      <c r="J119">
        <f>YEAR(financials[[#This Row],[Schedule Delivery Date]])</f>
        <v>2026</v>
      </c>
      <c r="K119" s="7">
        <v>11</v>
      </c>
      <c r="L119" s="9">
        <v>46025</v>
      </c>
      <c r="M119" s="9">
        <v>46025</v>
      </c>
    </row>
    <row r="120" spans="1:13" x14ac:dyDescent="0.25">
      <c r="A120" t="s">
        <v>10</v>
      </c>
      <c r="B120">
        <v>294</v>
      </c>
      <c r="C120" t="s">
        <v>12</v>
      </c>
      <c r="D120" s="3" t="s">
        <v>32</v>
      </c>
      <c r="E120" s="1">
        <v>1967.28</v>
      </c>
      <c r="F120">
        <v>2342</v>
      </c>
      <c r="G120" s="1">
        <v>5</v>
      </c>
      <c r="H120" s="1">
        <v>12</v>
      </c>
      <c r="I120" s="3" t="str">
        <f>TEXT(financials[[#This Row],[Schedule Delivery Date]],"mmmm")</f>
        <v>January</v>
      </c>
      <c r="J120">
        <f>YEAR(financials[[#This Row],[Schedule Delivery Date]])</f>
        <v>2026</v>
      </c>
      <c r="K120" s="7">
        <v>11</v>
      </c>
      <c r="L120" s="9">
        <v>46025</v>
      </c>
      <c r="M120" s="9">
        <v>46025</v>
      </c>
    </row>
    <row r="121" spans="1:13" x14ac:dyDescent="0.25">
      <c r="A121" t="s">
        <v>7</v>
      </c>
      <c r="B121">
        <v>295</v>
      </c>
      <c r="C121" t="s">
        <v>14</v>
      </c>
      <c r="D121" s="3" t="s">
        <v>31</v>
      </c>
      <c r="E121" s="1">
        <v>2093.25</v>
      </c>
      <c r="F121">
        <v>2791</v>
      </c>
      <c r="G121" s="1">
        <v>3</v>
      </c>
      <c r="H121" s="1">
        <v>15</v>
      </c>
      <c r="I121" s="3" t="str">
        <f>TEXT(financials[[#This Row],[Schedule Delivery Date]],"mmmm")</f>
        <v>January</v>
      </c>
      <c r="J121">
        <f>YEAR(financials[[#This Row],[Schedule Delivery Date]])</f>
        <v>2026</v>
      </c>
      <c r="K121" s="7">
        <v>11</v>
      </c>
      <c r="L121" s="9">
        <v>46025</v>
      </c>
      <c r="M121" s="9">
        <v>46025</v>
      </c>
    </row>
    <row r="122" spans="1:13" x14ac:dyDescent="0.25">
      <c r="A122" t="s">
        <v>8</v>
      </c>
      <c r="B122">
        <v>296</v>
      </c>
      <c r="C122" t="s">
        <v>12</v>
      </c>
      <c r="D122" s="3" t="s">
        <v>35</v>
      </c>
      <c r="E122" s="1">
        <v>2180</v>
      </c>
      <c r="F122">
        <v>1744</v>
      </c>
      <c r="G122" s="1">
        <v>250</v>
      </c>
      <c r="H122" s="1">
        <v>125</v>
      </c>
      <c r="I122" s="3" t="str">
        <f>TEXT(financials[[#This Row],[Schedule Delivery Date]],"mmmm")</f>
        <v>January</v>
      </c>
      <c r="J122">
        <f>YEAR(financials[[#This Row],[Schedule Delivery Date]])</f>
        <v>2026</v>
      </c>
      <c r="K122" s="7">
        <v>11</v>
      </c>
      <c r="L122" s="9">
        <v>46033</v>
      </c>
      <c r="M122" s="9">
        <v>46033</v>
      </c>
    </row>
    <row r="123" spans="1:13" x14ac:dyDescent="0.25">
      <c r="A123" t="s">
        <v>9</v>
      </c>
      <c r="B123">
        <v>297</v>
      </c>
      <c r="C123" t="s">
        <v>13</v>
      </c>
      <c r="D123" s="3" t="s">
        <v>36</v>
      </c>
      <c r="E123" s="1">
        <v>2432</v>
      </c>
      <c r="F123">
        <v>1520</v>
      </c>
      <c r="G123" s="1">
        <v>260</v>
      </c>
      <c r="H123" s="1">
        <v>20</v>
      </c>
      <c r="I123" s="3" t="str">
        <f>TEXT(financials[[#This Row],[Schedule Delivery Date]],"mmmm")</f>
        <v>January</v>
      </c>
      <c r="J123">
        <f>YEAR(financials[[#This Row],[Schedule Delivery Date]])</f>
        <v>2026</v>
      </c>
      <c r="K123" s="7">
        <v>11</v>
      </c>
      <c r="L123" s="9">
        <v>46025</v>
      </c>
      <c r="M123" s="9">
        <v>46025</v>
      </c>
    </row>
    <row r="124" spans="1:13" x14ac:dyDescent="0.25">
      <c r="A124" t="s">
        <v>10</v>
      </c>
      <c r="B124">
        <v>298</v>
      </c>
      <c r="C124" t="s">
        <v>11</v>
      </c>
      <c r="D124" s="3" t="s">
        <v>32</v>
      </c>
      <c r="E124" s="1">
        <v>2506.6799999999998</v>
      </c>
      <c r="F124">
        <v>2321</v>
      </c>
      <c r="G124" s="1">
        <v>5</v>
      </c>
      <c r="H124" s="1">
        <v>12</v>
      </c>
      <c r="I124" s="3" t="str">
        <f>TEXT(financials[[#This Row],[Schedule Delivery Date]],"mmmm")</f>
        <v>January</v>
      </c>
      <c r="J124">
        <f>YEAR(financials[[#This Row],[Schedule Delivery Date]])</f>
        <v>2026</v>
      </c>
      <c r="K124" s="7">
        <v>11</v>
      </c>
      <c r="L124" s="9">
        <v>46044</v>
      </c>
      <c r="M124" s="9">
        <v>46044</v>
      </c>
    </row>
    <row r="125" spans="1:13" x14ac:dyDescent="0.25">
      <c r="A125" t="s">
        <v>9</v>
      </c>
      <c r="B125">
        <v>299</v>
      </c>
      <c r="C125" t="s">
        <v>14</v>
      </c>
      <c r="D125" s="3" t="s">
        <v>36</v>
      </c>
      <c r="E125" s="1">
        <v>3049.2</v>
      </c>
      <c r="F125">
        <v>1694</v>
      </c>
      <c r="G125" s="1">
        <v>260</v>
      </c>
      <c r="H125" s="1">
        <v>20</v>
      </c>
      <c r="I125" s="3" t="str">
        <f>TEXT(financials[[#This Row],[Schedule Delivery Date]],"mmmm")</f>
        <v>January</v>
      </c>
      <c r="J125">
        <f>YEAR(financials[[#This Row],[Schedule Delivery Date]])</f>
        <v>2026</v>
      </c>
      <c r="K125" s="7">
        <v>11</v>
      </c>
      <c r="L125" s="9">
        <v>46025</v>
      </c>
      <c r="M125" s="9">
        <v>46025</v>
      </c>
    </row>
    <row r="126" spans="1:13" x14ac:dyDescent="0.25">
      <c r="A126" t="s">
        <v>7</v>
      </c>
      <c r="B126">
        <v>300</v>
      </c>
      <c r="C126" t="s">
        <v>13</v>
      </c>
      <c r="D126" s="3" t="s">
        <v>31</v>
      </c>
      <c r="E126" s="1">
        <v>3177.3</v>
      </c>
      <c r="F126">
        <v>1513</v>
      </c>
      <c r="G126" s="1">
        <v>3</v>
      </c>
      <c r="H126" s="1">
        <v>15</v>
      </c>
      <c r="I126" s="3" t="str">
        <f>TEXT(financials[[#This Row],[Schedule Delivery Date]],"mmmm")</f>
        <v>January</v>
      </c>
      <c r="J126">
        <f>YEAR(financials[[#This Row],[Schedule Delivery Date]])</f>
        <v>2026</v>
      </c>
      <c r="K126" s="7">
        <v>11</v>
      </c>
      <c r="L126" s="9">
        <v>46033</v>
      </c>
      <c r="M126" s="9">
        <v>46028</v>
      </c>
    </row>
    <row r="127" spans="1:13" x14ac:dyDescent="0.25">
      <c r="A127" t="s">
        <v>7</v>
      </c>
      <c r="B127">
        <v>301</v>
      </c>
      <c r="C127" t="s">
        <v>11</v>
      </c>
      <c r="D127" s="3" t="s">
        <v>31</v>
      </c>
      <c r="E127" s="1">
        <v>4840.2</v>
      </c>
      <c r="F127">
        <v>2689</v>
      </c>
      <c r="G127" s="1">
        <v>3</v>
      </c>
      <c r="H127" s="1">
        <v>15</v>
      </c>
      <c r="I127" s="3" t="str">
        <f>TEXT(financials[[#This Row],[Schedule Delivery Date]],"mmmm")</f>
        <v>January</v>
      </c>
      <c r="J127">
        <f>YEAR(financials[[#This Row],[Schedule Delivery Date]])</f>
        <v>2026</v>
      </c>
      <c r="K127" s="7">
        <v>11</v>
      </c>
      <c r="L127" s="9">
        <v>46025</v>
      </c>
      <c r="M127" s="9">
        <v>46025</v>
      </c>
    </row>
    <row r="128" spans="1:13" x14ac:dyDescent="0.25">
      <c r="A128" t="s">
        <v>6</v>
      </c>
      <c r="B128">
        <v>302</v>
      </c>
      <c r="C128" t="s">
        <v>55</v>
      </c>
      <c r="D128" s="3" t="s">
        <v>33</v>
      </c>
      <c r="E128" s="1">
        <v>8715</v>
      </c>
      <c r="F128">
        <v>2905</v>
      </c>
      <c r="G128" s="1">
        <v>10</v>
      </c>
      <c r="H128" s="1">
        <v>300</v>
      </c>
      <c r="I128" s="3" t="str">
        <f>TEXT(financials[[#This Row],[Schedule Delivery Date]],"mmmm")</f>
        <v>January</v>
      </c>
      <c r="J128">
        <f>YEAR(financials[[#This Row],[Schedule Delivery Date]])</f>
        <v>2026</v>
      </c>
      <c r="K128" s="7">
        <v>11</v>
      </c>
      <c r="L128" s="9">
        <v>46025</v>
      </c>
      <c r="M128" s="9">
        <v>46025</v>
      </c>
    </row>
    <row r="129" spans="1:13" x14ac:dyDescent="0.25">
      <c r="A129" t="s">
        <v>8</v>
      </c>
      <c r="B129">
        <v>303</v>
      </c>
      <c r="C129" t="s">
        <v>14</v>
      </c>
      <c r="D129" s="3" t="s">
        <v>35</v>
      </c>
      <c r="E129" s="1">
        <v>9866.25</v>
      </c>
      <c r="F129">
        <v>877</v>
      </c>
      <c r="G129" s="1">
        <v>250</v>
      </c>
      <c r="H129" s="1">
        <v>125</v>
      </c>
      <c r="I129" s="3" t="str">
        <f>TEXT(financials[[#This Row],[Schedule Delivery Date]],"mmmm")</f>
        <v>January</v>
      </c>
      <c r="J129">
        <f>YEAR(financials[[#This Row],[Schedule Delivery Date]])</f>
        <v>2026</v>
      </c>
      <c r="K129" s="7">
        <v>11</v>
      </c>
      <c r="L129" s="9">
        <v>46025</v>
      </c>
      <c r="M129" s="9">
        <v>46024</v>
      </c>
    </row>
    <row r="130" spans="1:13" x14ac:dyDescent="0.25">
      <c r="A130" t="s">
        <v>8</v>
      </c>
      <c r="B130">
        <v>304</v>
      </c>
      <c r="C130" t="s">
        <v>13</v>
      </c>
      <c r="D130" s="3" t="s">
        <v>35</v>
      </c>
      <c r="E130" s="1">
        <v>10350</v>
      </c>
      <c r="F130">
        <v>552</v>
      </c>
      <c r="G130" s="1">
        <v>250</v>
      </c>
      <c r="H130" s="1">
        <v>125</v>
      </c>
      <c r="I130" s="3" t="str">
        <f>TEXT(financials[[#This Row],[Schedule Delivery Date]],"mmmm")</f>
        <v>January</v>
      </c>
      <c r="J130">
        <f>YEAR(financials[[#This Row],[Schedule Delivery Date]])</f>
        <v>2026</v>
      </c>
      <c r="K130" s="7">
        <v>11</v>
      </c>
      <c r="L130" s="9">
        <v>46025</v>
      </c>
      <c r="M130" s="9">
        <v>46024</v>
      </c>
    </row>
    <row r="131" spans="1:13" x14ac:dyDescent="0.25">
      <c r="A131" t="s">
        <v>9</v>
      </c>
      <c r="B131">
        <v>305</v>
      </c>
      <c r="C131" t="s">
        <v>13</v>
      </c>
      <c r="D131" s="3" t="s">
        <v>33</v>
      </c>
      <c r="E131" s="1">
        <v>16243.5</v>
      </c>
      <c r="F131">
        <v>357</v>
      </c>
      <c r="G131" s="1">
        <v>10</v>
      </c>
      <c r="H131" s="1">
        <v>350</v>
      </c>
      <c r="I131" s="3" t="str">
        <f>TEXT(financials[[#This Row],[Schedule Delivery Date]],"mmmm")</f>
        <v>January</v>
      </c>
      <c r="J131">
        <f>YEAR(financials[[#This Row],[Schedule Delivery Date]])</f>
        <v>2026</v>
      </c>
      <c r="K131" s="7">
        <v>11</v>
      </c>
      <c r="L131" s="9">
        <v>46025</v>
      </c>
      <c r="M131" s="9">
        <v>46024</v>
      </c>
    </row>
    <row r="132" spans="1:13" x14ac:dyDescent="0.25">
      <c r="A132" t="s">
        <v>8</v>
      </c>
      <c r="B132">
        <v>306</v>
      </c>
      <c r="C132" t="s">
        <v>11</v>
      </c>
      <c r="D132" s="3" t="s">
        <v>35</v>
      </c>
      <c r="E132" s="1">
        <v>31612.5</v>
      </c>
      <c r="F132">
        <v>2529</v>
      </c>
      <c r="G132" s="1">
        <v>250</v>
      </c>
      <c r="H132" s="1">
        <v>125</v>
      </c>
      <c r="I132" s="3" t="str">
        <f>TEXT(financials[[#This Row],[Schedule Delivery Date]],"mmmm")</f>
        <v>January</v>
      </c>
      <c r="J132">
        <f>YEAR(financials[[#This Row],[Schedule Delivery Date]])</f>
        <v>2026</v>
      </c>
      <c r="K132" s="7">
        <v>11</v>
      </c>
      <c r="L132" s="9">
        <v>46025</v>
      </c>
      <c r="M132" s="9">
        <v>46025</v>
      </c>
    </row>
    <row r="133" spans="1:13" x14ac:dyDescent="0.25">
      <c r="A133" t="s">
        <v>9</v>
      </c>
      <c r="B133">
        <v>307</v>
      </c>
      <c r="C133" t="s">
        <v>11</v>
      </c>
      <c r="D133" s="3" t="s">
        <v>33</v>
      </c>
      <c r="E133" s="1">
        <v>34300</v>
      </c>
      <c r="F133">
        <v>700</v>
      </c>
      <c r="G133" s="1">
        <v>10</v>
      </c>
      <c r="H133" s="1">
        <v>350</v>
      </c>
      <c r="I133" s="3" t="str">
        <f>TEXT(financials[[#This Row],[Schedule Delivery Date]],"mmmm")</f>
        <v>January</v>
      </c>
      <c r="J133">
        <f>YEAR(financials[[#This Row],[Schedule Delivery Date]])</f>
        <v>2026</v>
      </c>
      <c r="K133" s="7">
        <v>11</v>
      </c>
      <c r="L133" s="9">
        <v>46034</v>
      </c>
      <c r="M133" s="9">
        <v>46034</v>
      </c>
    </row>
    <row r="134" spans="1:13" x14ac:dyDescent="0.25">
      <c r="A134" t="s">
        <v>6</v>
      </c>
      <c r="B134">
        <v>308</v>
      </c>
      <c r="C134" t="s">
        <v>12</v>
      </c>
      <c r="D134" s="3" t="s">
        <v>33</v>
      </c>
      <c r="E134" s="1">
        <v>35748</v>
      </c>
      <c r="F134">
        <v>1324</v>
      </c>
      <c r="G134" s="1">
        <v>10</v>
      </c>
      <c r="H134" s="1">
        <v>300</v>
      </c>
      <c r="I134" s="3" t="str">
        <f>TEXT(financials[[#This Row],[Schedule Delivery Date]],"mmmm")</f>
        <v>January</v>
      </c>
      <c r="J134">
        <f>YEAR(financials[[#This Row],[Schedule Delivery Date]])</f>
        <v>2026</v>
      </c>
      <c r="K134" s="7">
        <v>11</v>
      </c>
      <c r="L134" s="9">
        <v>46025</v>
      </c>
      <c r="M134" s="9">
        <v>46024</v>
      </c>
    </row>
    <row r="135" spans="1:13" x14ac:dyDescent="0.25">
      <c r="A135" t="s">
        <v>8</v>
      </c>
      <c r="B135">
        <v>309</v>
      </c>
      <c r="C135" t="s">
        <v>55</v>
      </c>
      <c r="D135" s="3" t="s">
        <v>35</v>
      </c>
      <c r="E135" s="1">
        <v>35805</v>
      </c>
      <c r="F135">
        <v>2387</v>
      </c>
      <c r="G135" s="1">
        <v>250</v>
      </c>
      <c r="H135" s="1">
        <v>125</v>
      </c>
      <c r="I135" s="3" t="str">
        <f>TEXT(financials[[#This Row],[Schedule Delivery Date]],"mmmm")</f>
        <v>January</v>
      </c>
      <c r="J135">
        <f>YEAR(financials[[#This Row],[Schedule Delivery Date]])</f>
        <v>2026</v>
      </c>
      <c r="K135" s="7">
        <v>11</v>
      </c>
      <c r="L135" s="9">
        <v>46025</v>
      </c>
      <c r="M135" s="9">
        <v>46024</v>
      </c>
    </row>
    <row r="136" spans="1:13" x14ac:dyDescent="0.25">
      <c r="A136" t="s">
        <v>6</v>
      </c>
      <c r="B136">
        <v>310</v>
      </c>
      <c r="C136" t="s">
        <v>11</v>
      </c>
      <c r="D136" s="3" t="s">
        <v>33</v>
      </c>
      <c r="E136" s="1">
        <v>45078</v>
      </c>
      <c r="F136">
        <v>1366</v>
      </c>
      <c r="G136" s="1">
        <v>10</v>
      </c>
      <c r="H136" s="1">
        <v>300</v>
      </c>
      <c r="I136" s="3" t="str">
        <f>TEXT(financials[[#This Row],[Schedule Delivery Date]],"mmmm")</f>
        <v>January</v>
      </c>
      <c r="J136">
        <f>YEAR(financials[[#This Row],[Schedule Delivery Date]])</f>
        <v>2026</v>
      </c>
      <c r="K136" s="7">
        <v>11</v>
      </c>
      <c r="L136" s="9">
        <v>46025</v>
      </c>
      <c r="M136" s="9">
        <v>46025</v>
      </c>
    </row>
    <row r="137" spans="1:13" x14ac:dyDescent="0.25">
      <c r="A137" t="s">
        <v>6</v>
      </c>
      <c r="B137">
        <v>311</v>
      </c>
      <c r="C137" t="s">
        <v>13</v>
      </c>
      <c r="D137" s="3" t="s">
        <v>33</v>
      </c>
      <c r="E137" s="1">
        <v>48924</v>
      </c>
      <c r="F137">
        <v>1359</v>
      </c>
      <c r="G137" s="1">
        <v>10</v>
      </c>
      <c r="H137" s="1">
        <v>300</v>
      </c>
      <c r="I137" s="3" t="str">
        <f>TEXT(financials[[#This Row],[Schedule Delivery Date]],"mmmm")</f>
        <v>January</v>
      </c>
      <c r="J137">
        <f>YEAR(financials[[#This Row],[Schedule Delivery Date]])</f>
        <v>2026</v>
      </c>
      <c r="K137" s="7">
        <v>11</v>
      </c>
      <c r="L137" s="9">
        <v>46025</v>
      </c>
      <c r="M137" s="9">
        <v>46025</v>
      </c>
    </row>
    <row r="138" spans="1:13" x14ac:dyDescent="0.25">
      <c r="A138" t="s">
        <v>9</v>
      </c>
      <c r="B138">
        <v>312</v>
      </c>
      <c r="C138" t="s">
        <v>14</v>
      </c>
      <c r="D138" s="3" t="s">
        <v>33</v>
      </c>
      <c r="E138" s="1">
        <v>50274</v>
      </c>
      <c r="F138">
        <v>1197</v>
      </c>
      <c r="G138" s="1">
        <v>10</v>
      </c>
      <c r="H138" s="1">
        <v>350</v>
      </c>
      <c r="I138" s="3" t="str">
        <f>TEXT(financials[[#This Row],[Schedule Delivery Date]],"mmmm")</f>
        <v>January</v>
      </c>
      <c r="J138">
        <f>YEAR(financials[[#This Row],[Schedule Delivery Date]])</f>
        <v>2026</v>
      </c>
      <c r="K138" s="7">
        <v>11</v>
      </c>
      <c r="L138" s="9">
        <v>46025</v>
      </c>
      <c r="M138" s="9">
        <v>46024</v>
      </c>
    </row>
    <row r="139" spans="1:13" x14ac:dyDescent="0.25">
      <c r="A139" t="s">
        <v>9</v>
      </c>
      <c r="B139">
        <v>313</v>
      </c>
      <c r="C139" t="s">
        <v>55</v>
      </c>
      <c r="D139" s="3" t="s">
        <v>33</v>
      </c>
      <c r="E139" s="1">
        <v>57673</v>
      </c>
      <c r="F139">
        <v>1177</v>
      </c>
      <c r="G139" s="1">
        <v>10</v>
      </c>
      <c r="H139" s="1">
        <v>350</v>
      </c>
      <c r="I139" s="3" t="str">
        <f>TEXT(financials[[#This Row],[Schedule Delivery Date]],"mmmm")</f>
        <v>January</v>
      </c>
      <c r="J139">
        <f>YEAR(financials[[#This Row],[Schedule Delivery Date]])</f>
        <v>2026</v>
      </c>
      <c r="K139" s="7">
        <v>11</v>
      </c>
      <c r="L139" s="9">
        <v>46025</v>
      </c>
      <c r="M139" s="9">
        <v>46024</v>
      </c>
    </row>
    <row r="140" spans="1:13" x14ac:dyDescent="0.25">
      <c r="A140" t="s">
        <v>9</v>
      </c>
      <c r="B140">
        <v>314</v>
      </c>
      <c r="C140" t="s">
        <v>12</v>
      </c>
      <c r="D140" s="3" t="s">
        <v>33</v>
      </c>
      <c r="E140" s="1">
        <v>66948</v>
      </c>
      <c r="F140">
        <v>1594</v>
      </c>
      <c r="G140" s="1">
        <v>10</v>
      </c>
      <c r="H140" s="1">
        <v>350</v>
      </c>
      <c r="I140" s="3" t="str">
        <f>TEXT(financials[[#This Row],[Schedule Delivery Date]],"mmmm")</f>
        <v>January</v>
      </c>
      <c r="J140">
        <f>YEAR(financials[[#This Row],[Schedule Delivery Date]])</f>
        <v>2026</v>
      </c>
      <c r="K140" s="7">
        <v>11</v>
      </c>
      <c r="L140" s="9">
        <v>46025</v>
      </c>
      <c r="M140" s="9">
        <v>46024</v>
      </c>
    </row>
    <row r="141" spans="1:13" x14ac:dyDescent="0.25">
      <c r="A141" t="s">
        <v>6</v>
      </c>
      <c r="B141">
        <v>315</v>
      </c>
      <c r="C141" t="s">
        <v>14</v>
      </c>
      <c r="D141" s="3" t="s">
        <v>33</v>
      </c>
      <c r="E141" s="1">
        <v>77400</v>
      </c>
      <c r="F141">
        <v>2150</v>
      </c>
      <c r="G141" s="1">
        <v>10</v>
      </c>
      <c r="H141" s="1">
        <v>300</v>
      </c>
      <c r="I141" s="3" t="str">
        <f>TEXT(financials[[#This Row],[Schedule Delivery Date]],"mmmm")</f>
        <v>January</v>
      </c>
      <c r="J141">
        <f>YEAR(financials[[#This Row],[Schedule Delivery Date]])</f>
        <v>2026</v>
      </c>
      <c r="K141" s="7">
        <v>11</v>
      </c>
      <c r="L141" s="9">
        <v>46025</v>
      </c>
      <c r="M141" s="9">
        <v>46024</v>
      </c>
    </row>
    <row r="142" spans="1:13" x14ac:dyDescent="0.25">
      <c r="A142" t="s">
        <v>9</v>
      </c>
      <c r="B142">
        <v>316</v>
      </c>
      <c r="C142" t="s">
        <v>13</v>
      </c>
      <c r="D142" s="3" t="s">
        <v>31</v>
      </c>
      <c r="E142" s="1">
        <v>0</v>
      </c>
      <c r="F142">
        <v>1513</v>
      </c>
      <c r="G142" s="1">
        <v>3</v>
      </c>
      <c r="H142" s="1">
        <v>350</v>
      </c>
      <c r="I142" s="3" t="str">
        <f>TEXT(financials[[#This Row],[Schedule Delivery Date]],"mmmm")</f>
        <v>January</v>
      </c>
      <c r="J142">
        <f>YEAR(financials[[#This Row],[Schedule Delivery Date]])</f>
        <v>2026</v>
      </c>
      <c r="K142" s="7">
        <v>12</v>
      </c>
      <c r="L142" s="9">
        <v>46025</v>
      </c>
      <c r="M142" s="9">
        <v>46024</v>
      </c>
    </row>
    <row r="143" spans="1:13" x14ac:dyDescent="0.25">
      <c r="A143" t="s">
        <v>7</v>
      </c>
      <c r="B143">
        <v>317</v>
      </c>
      <c r="C143" t="s">
        <v>55</v>
      </c>
      <c r="D143" s="3" t="s">
        <v>32</v>
      </c>
      <c r="E143" s="1">
        <v>0</v>
      </c>
      <c r="F143">
        <v>615</v>
      </c>
      <c r="G143" s="1">
        <v>5</v>
      </c>
      <c r="H143" s="1">
        <v>15</v>
      </c>
      <c r="I143" s="3" t="str">
        <f>TEXT(financials[[#This Row],[Schedule Delivery Date]],"mmmm")</f>
        <v>January</v>
      </c>
      <c r="J143">
        <f>YEAR(financials[[#This Row],[Schedule Delivery Date]])</f>
        <v>2026</v>
      </c>
      <c r="K143" s="7">
        <v>12</v>
      </c>
      <c r="L143" s="9">
        <v>46025</v>
      </c>
      <c r="M143" s="9">
        <v>46024</v>
      </c>
    </row>
    <row r="144" spans="1:13" x14ac:dyDescent="0.25">
      <c r="A144" t="s">
        <v>9</v>
      </c>
      <c r="B144">
        <v>318</v>
      </c>
      <c r="C144" t="s">
        <v>11</v>
      </c>
      <c r="D144" s="3" t="s">
        <v>33</v>
      </c>
      <c r="E144" s="1">
        <v>0</v>
      </c>
      <c r="F144">
        <v>1817</v>
      </c>
      <c r="G144" s="1">
        <v>10</v>
      </c>
      <c r="H144" s="1">
        <v>20</v>
      </c>
      <c r="I144" s="3" t="str">
        <f>TEXT(financials[[#This Row],[Schedule Delivery Date]],"mmmm")</f>
        <v>January</v>
      </c>
      <c r="J144">
        <f>YEAR(financials[[#This Row],[Schedule Delivery Date]])</f>
        <v>2026</v>
      </c>
      <c r="K144" s="7">
        <v>12</v>
      </c>
      <c r="L144" s="9">
        <v>46025</v>
      </c>
      <c r="M144" s="9">
        <v>46025</v>
      </c>
    </row>
    <row r="145" spans="1:13" x14ac:dyDescent="0.25">
      <c r="A145" t="s">
        <v>9</v>
      </c>
      <c r="B145">
        <v>319</v>
      </c>
      <c r="C145" t="s">
        <v>13</v>
      </c>
      <c r="D145" s="3" t="s">
        <v>33</v>
      </c>
      <c r="E145" s="1">
        <v>0</v>
      </c>
      <c r="F145">
        <v>1513</v>
      </c>
      <c r="G145" s="1">
        <v>10</v>
      </c>
      <c r="H145" s="1">
        <v>350</v>
      </c>
      <c r="I145" s="3" t="str">
        <f>TEXT(financials[[#This Row],[Schedule Delivery Date]],"mmmm")</f>
        <v>January</v>
      </c>
      <c r="J145">
        <f>YEAR(financials[[#This Row],[Schedule Delivery Date]])</f>
        <v>2026</v>
      </c>
      <c r="K145" s="7">
        <v>12</v>
      </c>
      <c r="L145" s="9">
        <v>46025</v>
      </c>
      <c r="M145" s="9">
        <v>46025</v>
      </c>
    </row>
    <row r="146" spans="1:13" x14ac:dyDescent="0.25">
      <c r="A146" t="s">
        <v>9</v>
      </c>
      <c r="B146">
        <v>320</v>
      </c>
      <c r="C146" t="s">
        <v>11</v>
      </c>
      <c r="D146" s="3" t="s">
        <v>35</v>
      </c>
      <c r="E146" s="1">
        <v>0</v>
      </c>
      <c r="F146">
        <v>1817</v>
      </c>
      <c r="G146" s="1">
        <v>250</v>
      </c>
      <c r="H146" s="1">
        <v>20</v>
      </c>
      <c r="I146" s="3" t="str">
        <f>TEXT(financials[[#This Row],[Schedule Delivery Date]],"mmmm")</f>
        <v>January</v>
      </c>
      <c r="J146">
        <f>YEAR(financials[[#This Row],[Schedule Delivery Date]])</f>
        <v>2026</v>
      </c>
      <c r="K146" s="7">
        <v>12</v>
      </c>
      <c r="L146" s="9">
        <v>46025</v>
      </c>
      <c r="M146" s="9">
        <v>46025</v>
      </c>
    </row>
    <row r="147" spans="1:13" x14ac:dyDescent="0.25">
      <c r="A147" t="s">
        <v>7</v>
      </c>
      <c r="B147">
        <v>321</v>
      </c>
      <c r="C147" t="s">
        <v>55</v>
      </c>
      <c r="D147" s="3" t="s">
        <v>36</v>
      </c>
      <c r="E147" s="1">
        <v>0</v>
      </c>
      <c r="F147">
        <v>615</v>
      </c>
      <c r="G147" s="1">
        <v>260</v>
      </c>
      <c r="H147" s="1">
        <v>15</v>
      </c>
      <c r="I147" s="3" t="str">
        <f>TEXT(financials[[#This Row],[Schedule Delivery Date]],"mmmm")</f>
        <v>January</v>
      </c>
      <c r="J147">
        <f>YEAR(financials[[#This Row],[Schedule Delivery Date]])</f>
        <v>2026</v>
      </c>
      <c r="K147" s="7">
        <v>12</v>
      </c>
      <c r="L147" s="9">
        <v>46025</v>
      </c>
      <c r="M147" s="9">
        <v>46024</v>
      </c>
    </row>
    <row r="148" spans="1:13" x14ac:dyDescent="0.25">
      <c r="A148" t="s">
        <v>9</v>
      </c>
      <c r="B148">
        <v>322</v>
      </c>
      <c r="C148" t="s">
        <v>55</v>
      </c>
      <c r="D148" s="3" t="s">
        <v>31</v>
      </c>
      <c r="E148" s="1">
        <v>199.5</v>
      </c>
      <c r="F148">
        <v>570</v>
      </c>
      <c r="G148" s="1">
        <v>3</v>
      </c>
      <c r="H148" s="1">
        <v>7</v>
      </c>
      <c r="I148" s="3" t="str">
        <f>TEXT(financials[[#This Row],[Schedule Delivery Date]],"mmmm")</f>
        <v>January</v>
      </c>
      <c r="J148">
        <f>YEAR(financials[[#This Row],[Schedule Delivery Date]])</f>
        <v>2026</v>
      </c>
      <c r="K148" s="7">
        <v>12</v>
      </c>
      <c r="L148" s="9">
        <v>46025</v>
      </c>
      <c r="M148" s="9">
        <v>46024</v>
      </c>
    </row>
    <row r="149" spans="1:13" x14ac:dyDescent="0.25">
      <c r="A149" t="s">
        <v>9</v>
      </c>
      <c r="B149">
        <v>323</v>
      </c>
      <c r="C149" t="s">
        <v>55</v>
      </c>
      <c r="D149" s="3" t="s">
        <v>35</v>
      </c>
      <c r="E149" s="1">
        <v>199.5</v>
      </c>
      <c r="F149">
        <v>570</v>
      </c>
      <c r="G149" s="1">
        <v>250</v>
      </c>
      <c r="H149" s="1">
        <v>7</v>
      </c>
      <c r="I149" s="3" t="str">
        <f>TEXT(financials[[#This Row],[Schedule Delivery Date]],"mmmm")</f>
        <v>January</v>
      </c>
      <c r="J149">
        <f>YEAR(financials[[#This Row],[Schedule Delivery Date]])</f>
        <v>2026</v>
      </c>
      <c r="K149" s="7">
        <v>12</v>
      </c>
      <c r="L149" s="9">
        <v>46025</v>
      </c>
      <c r="M149" s="9">
        <v>46024</v>
      </c>
    </row>
    <row r="150" spans="1:13" x14ac:dyDescent="0.25">
      <c r="A150" t="s">
        <v>10</v>
      </c>
      <c r="B150">
        <v>324</v>
      </c>
      <c r="C150" t="s">
        <v>12</v>
      </c>
      <c r="D150" s="3" t="s">
        <v>33</v>
      </c>
      <c r="E150" s="1">
        <v>253.2</v>
      </c>
      <c r="F150">
        <v>1055</v>
      </c>
      <c r="G150" s="1">
        <v>10</v>
      </c>
      <c r="H150" s="1">
        <v>12</v>
      </c>
      <c r="I150" s="3" t="str">
        <f>TEXT(financials[[#This Row],[Schedule Delivery Date]],"mmmm")</f>
        <v>January</v>
      </c>
      <c r="J150">
        <f>YEAR(financials[[#This Row],[Schedule Delivery Date]])</f>
        <v>2026</v>
      </c>
      <c r="K150" s="7">
        <v>12</v>
      </c>
      <c r="L150" s="9">
        <v>46025</v>
      </c>
      <c r="M150" s="9">
        <v>46024</v>
      </c>
    </row>
    <row r="151" spans="1:13" x14ac:dyDescent="0.25">
      <c r="A151" t="s">
        <v>10</v>
      </c>
      <c r="B151">
        <v>325</v>
      </c>
      <c r="C151" t="s">
        <v>12</v>
      </c>
      <c r="D151" s="3" t="s">
        <v>34</v>
      </c>
      <c r="E151" s="1">
        <v>253.2</v>
      </c>
      <c r="F151">
        <v>1055</v>
      </c>
      <c r="G151" s="1">
        <v>120</v>
      </c>
      <c r="H151" s="1">
        <v>12</v>
      </c>
      <c r="I151" s="3" t="str">
        <f>TEXT(financials[[#This Row],[Schedule Delivery Date]],"mmmm")</f>
        <v>January</v>
      </c>
      <c r="J151">
        <f>YEAR(financials[[#This Row],[Schedule Delivery Date]])</f>
        <v>2026</v>
      </c>
      <c r="K151" s="7">
        <v>12</v>
      </c>
      <c r="L151" s="9">
        <v>46025</v>
      </c>
      <c r="M151" s="9">
        <v>46024</v>
      </c>
    </row>
    <row r="152" spans="1:13" x14ac:dyDescent="0.25">
      <c r="A152" t="s">
        <v>10</v>
      </c>
      <c r="B152">
        <v>326</v>
      </c>
      <c r="C152" t="s">
        <v>14</v>
      </c>
      <c r="D152" s="3" t="s">
        <v>33</v>
      </c>
      <c r="E152" s="1">
        <v>260.16000000000003</v>
      </c>
      <c r="F152">
        <v>1084</v>
      </c>
      <c r="G152" s="1">
        <v>10</v>
      </c>
      <c r="H152" s="1">
        <v>12</v>
      </c>
      <c r="I152" s="3" t="str">
        <f>TEXT(financials[[#This Row],[Schedule Delivery Date]],"mmmm")</f>
        <v>January</v>
      </c>
      <c r="J152">
        <f>YEAR(financials[[#This Row],[Schedule Delivery Date]])</f>
        <v>2026</v>
      </c>
      <c r="K152" s="7">
        <v>12</v>
      </c>
      <c r="L152" s="9">
        <v>46025</v>
      </c>
      <c r="M152" s="9">
        <v>46024</v>
      </c>
    </row>
    <row r="153" spans="1:13" x14ac:dyDescent="0.25">
      <c r="A153" t="s">
        <v>10</v>
      </c>
      <c r="B153">
        <v>327</v>
      </c>
      <c r="C153" t="s">
        <v>14</v>
      </c>
      <c r="D153" s="3" t="s">
        <v>34</v>
      </c>
      <c r="E153" s="1">
        <v>260.16000000000003</v>
      </c>
      <c r="F153">
        <v>1084</v>
      </c>
      <c r="G153" s="1">
        <v>120</v>
      </c>
      <c r="H153" s="1">
        <v>12</v>
      </c>
      <c r="I153" s="3" t="str">
        <f>TEXT(financials[[#This Row],[Schedule Delivery Date]],"mmmm")</f>
        <v>January</v>
      </c>
      <c r="J153">
        <f>YEAR(financials[[#This Row],[Schedule Delivery Date]])</f>
        <v>2026</v>
      </c>
      <c r="K153" s="7">
        <v>12</v>
      </c>
      <c r="L153" s="9">
        <v>46025</v>
      </c>
      <c r="M153" s="9">
        <v>46024</v>
      </c>
    </row>
    <row r="154" spans="1:13" x14ac:dyDescent="0.25">
      <c r="A154" t="s">
        <v>9</v>
      </c>
      <c r="B154">
        <v>328</v>
      </c>
      <c r="C154" t="s">
        <v>13</v>
      </c>
      <c r="D154" s="3" t="s">
        <v>31</v>
      </c>
      <c r="E154" s="1">
        <v>274.39999999999998</v>
      </c>
      <c r="F154">
        <v>280</v>
      </c>
      <c r="G154" s="1">
        <v>3</v>
      </c>
      <c r="H154" s="1">
        <v>7</v>
      </c>
      <c r="I154" s="3" t="str">
        <f>TEXT(financials[[#This Row],[Schedule Delivery Date]],"mmmm")</f>
        <v>January</v>
      </c>
      <c r="J154">
        <f>YEAR(financials[[#This Row],[Schedule Delivery Date]])</f>
        <v>2026</v>
      </c>
      <c r="K154" s="7">
        <v>12</v>
      </c>
      <c r="L154" s="9">
        <v>46025</v>
      </c>
      <c r="M154" s="9">
        <v>46024</v>
      </c>
    </row>
    <row r="155" spans="1:13" x14ac:dyDescent="0.25">
      <c r="A155" t="s">
        <v>9</v>
      </c>
      <c r="B155">
        <v>329</v>
      </c>
      <c r="C155" t="s">
        <v>13</v>
      </c>
      <c r="D155" s="3" t="s">
        <v>35</v>
      </c>
      <c r="E155" s="1">
        <v>274.39999999999998</v>
      </c>
      <c r="F155">
        <v>280</v>
      </c>
      <c r="G155" s="1">
        <v>250</v>
      </c>
      <c r="H155" s="1">
        <v>7</v>
      </c>
      <c r="I155" s="3" t="str">
        <f>TEXT(financials[[#This Row],[Schedule Delivery Date]],"mmmm")</f>
        <v>January</v>
      </c>
      <c r="J155">
        <f>YEAR(financials[[#This Row],[Schedule Delivery Date]])</f>
        <v>2026</v>
      </c>
      <c r="K155" s="7">
        <v>12</v>
      </c>
      <c r="L155" s="9">
        <v>46025</v>
      </c>
      <c r="M155" s="9">
        <v>46025</v>
      </c>
    </row>
    <row r="156" spans="1:13" x14ac:dyDescent="0.25">
      <c r="A156" t="s">
        <v>9</v>
      </c>
      <c r="B156">
        <v>330</v>
      </c>
      <c r="C156" t="s">
        <v>14</v>
      </c>
      <c r="D156" s="3" t="s">
        <v>31</v>
      </c>
      <c r="E156" s="1">
        <v>328.23</v>
      </c>
      <c r="F156">
        <v>521</v>
      </c>
      <c r="G156" s="1">
        <v>3</v>
      </c>
      <c r="H156" s="1">
        <v>7</v>
      </c>
      <c r="I156" s="3" t="str">
        <f>TEXT(financials[[#This Row],[Schedule Delivery Date]],"mmmm")</f>
        <v>January</v>
      </c>
      <c r="J156">
        <f>YEAR(financials[[#This Row],[Schedule Delivery Date]])</f>
        <v>2026</v>
      </c>
      <c r="K156" s="7">
        <v>12</v>
      </c>
      <c r="L156" s="9">
        <v>46025</v>
      </c>
      <c r="M156" s="9">
        <v>46025</v>
      </c>
    </row>
    <row r="157" spans="1:13" x14ac:dyDescent="0.25">
      <c r="A157" t="s">
        <v>9</v>
      </c>
      <c r="B157">
        <v>331</v>
      </c>
      <c r="C157" t="s">
        <v>14</v>
      </c>
      <c r="D157" s="3" t="s">
        <v>35</v>
      </c>
      <c r="E157" s="1">
        <v>328.23</v>
      </c>
      <c r="F157">
        <v>521</v>
      </c>
      <c r="G157" s="1">
        <v>250</v>
      </c>
      <c r="H157" s="1">
        <v>7</v>
      </c>
      <c r="I157" s="3" t="str">
        <f>TEXT(financials[[#This Row],[Schedule Delivery Date]],"mmmm")</f>
        <v>January</v>
      </c>
      <c r="J157">
        <f>YEAR(financials[[#This Row],[Schedule Delivery Date]])</f>
        <v>2026</v>
      </c>
      <c r="K157" s="7">
        <v>12</v>
      </c>
      <c r="L157" s="9">
        <v>46025</v>
      </c>
      <c r="M157" s="9">
        <v>46026</v>
      </c>
    </row>
    <row r="158" spans="1:13" x14ac:dyDescent="0.25">
      <c r="A158" t="s">
        <v>9</v>
      </c>
      <c r="B158">
        <v>332</v>
      </c>
      <c r="C158" t="s">
        <v>11</v>
      </c>
      <c r="D158" s="3" t="s">
        <v>34</v>
      </c>
      <c r="E158" s="1">
        <v>775.18</v>
      </c>
      <c r="F158">
        <v>1582</v>
      </c>
      <c r="G158" s="1">
        <v>120</v>
      </c>
      <c r="H158" s="1">
        <v>7</v>
      </c>
      <c r="I158" s="3" t="str">
        <f>TEXT(financials[[#This Row],[Schedule Delivery Date]],"mmmm")</f>
        <v>January</v>
      </c>
      <c r="J158">
        <f>YEAR(financials[[#This Row],[Schedule Delivery Date]])</f>
        <v>2026</v>
      </c>
      <c r="K158" s="7">
        <v>12</v>
      </c>
      <c r="L158" s="9">
        <v>46025</v>
      </c>
      <c r="M158" s="9">
        <v>46025</v>
      </c>
    </row>
    <row r="159" spans="1:13" x14ac:dyDescent="0.25">
      <c r="A159" t="s">
        <v>9</v>
      </c>
      <c r="B159">
        <v>333</v>
      </c>
      <c r="C159" t="s">
        <v>11</v>
      </c>
      <c r="D159" s="3" t="s">
        <v>35</v>
      </c>
      <c r="E159" s="1">
        <v>775.18</v>
      </c>
      <c r="F159">
        <v>1582</v>
      </c>
      <c r="G159" s="1">
        <v>250</v>
      </c>
      <c r="H159" s="1">
        <v>7</v>
      </c>
      <c r="I159" s="3" t="str">
        <f>TEXT(financials[[#This Row],[Schedule Delivery Date]],"mmmm")</f>
        <v>January</v>
      </c>
      <c r="J159">
        <f>YEAR(financials[[#This Row],[Schedule Delivery Date]])</f>
        <v>2026</v>
      </c>
      <c r="K159" s="7">
        <v>12</v>
      </c>
      <c r="L159" s="9">
        <v>46025</v>
      </c>
      <c r="M159" s="9">
        <v>46026</v>
      </c>
    </row>
    <row r="160" spans="1:13" x14ac:dyDescent="0.25">
      <c r="A160" t="s">
        <v>7</v>
      </c>
      <c r="B160">
        <v>334</v>
      </c>
      <c r="C160" t="s">
        <v>13</v>
      </c>
      <c r="D160" s="3" t="s">
        <v>32</v>
      </c>
      <c r="E160" s="1">
        <v>853.2</v>
      </c>
      <c r="F160">
        <v>711</v>
      </c>
      <c r="G160" s="1">
        <v>5</v>
      </c>
      <c r="H160" s="1">
        <v>15</v>
      </c>
      <c r="I160" s="3" t="str">
        <f>TEXT(financials[[#This Row],[Schedule Delivery Date]],"mmmm")</f>
        <v>January</v>
      </c>
      <c r="J160">
        <f>YEAR(financials[[#This Row],[Schedule Delivery Date]])</f>
        <v>2026</v>
      </c>
      <c r="K160" s="7">
        <v>12</v>
      </c>
      <c r="L160" s="9">
        <v>46025</v>
      </c>
      <c r="M160" s="9">
        <v>46024</v>
      </c>
    </row>
    <row r="161" spans="1:13" x14ac:dyDescent="0.25">
      <c r="A161" t="s">
        <v>7</v>
      </c>
      <c r="B161">
        <v>335</v>
      </c>
      <c r="C161" t="s">
        <v>13</v>
      </c>
      <c r="D161" s="3" t="s">
        <v>36</v>
      </c>
      <c r="E161" s="1">
        <v>853.2</v>
      </c>
      <c r="F161">
        <v>711</v>
      </c>
      <c r="G161" s="1">
        <v>260</v>
      </c>
      <c r="H161" s="1">
        <v>15</v>
      </c>
      <c r="I161" s="3" t="str">
        <f>TEXT(financials[[#This Row],[Schedule Delivery Date]],"mmmm")</f>
        <v>January</v>
      </c>
      <c r="J161">
        <f>YEAR(financials[[#This Row],[Schedule Delivery Date]])</f>
        <v>2026</v>
      </c>
      <c r="K161" s="7">
        <v>12</v>
      </c>
      <c r="L161" s="9">
        <v>46025</v>
      </c>
      <c r="M161" s="9">
        <v>46025</v>
      </c>
    </row>
    <row r="162" spans="1:13" x14ac:dyDescent="0.25">
      <c r="A162" t="s">
        <v>9</v>
      </c>
      <c r="B162">
        <v>336</v>
      </c>
      <c r="C162" t="s">
        <v>12</v>
      </c>
      <c r="D162" s="3" t="s">
        <v>31</v>
      </c>
      <c r="E162" s="1">
        <v>870.45</v>
      </c>
      <c r="F162">
        <v>2487</v>
      </c>
      <c r="G162" s="1">
        <v>3</v>
      </c>
      <c r="H162" s="1">
        <v>7</v>
      </c>
      <c r="I162" s="3" t="str">
        <f>TEXT(financials[[#This Row],[Schedule Delivery Date]],"mmmm")</f>
        <v>January</v>
      </c>
      <c r="J162">
        <f>YEAR(financials[[#This Row],[Schedule Delivery Date]])</f>
        <v>2026</v>
      </c>
      <c r="K162" s="7">
        <v>12</v>
      </c>
      <c r="L162" s="9">
        <v>46033</v>
      </c>
      <c r="M162" s="9">
        <v>46033</v>
      </c>
    </row>
    <row r="163" spans="1:13" x14ac:dyDescent="0.25">
      <c r="A163" t="s">
        <v>9</v>
      </c>
      <c r="B163">
        <v>337</v>
      </c>
      <c r="C163" t="s">
        <v>12</v>
      </c>
      <c r="D163" s="3" t="s">
        <v>35</v>
      </c>
      <c r="E163" s="1">
        <v>870.45</v>
      </c>
      <c r="F163">
        <v>2487</v>
      </c>
      <c r="G163" s="1">
        <v>250</v>
      </c>
      <c r="H163" s="1">
        <v>7</v>
      </c>
      <c r="I163" s="3" t="str">
        <f>TEXT(financials[[#This Row],[Schedule Delivery Date]],"mmmm")</f>
        <v>January</v>
      </c>
      <c r="J163">
        <f>YEAR(financials[[#This Row],[Schedule Delivery Date]])</f>
        <v>2026</v>
      </c>
      <c r="K163" s="7">
        <v>12</v>
      </c>
      <c r="L163" s="9">
        <v>46025</v>
      </c>
      <c r="M163" s="9">
        <v>46027</v>
      </c>
    </row>
    <row r="164" spans="1:13" x14ac:dyDescent="0.25">
      <c r="A164" t="s">
        <v>9</v>
      </c>
      <c r="B164">
        <v>338</v>
      </c>
      <c r="C164" t="s">
        <v>12</v>
      </c>
      <c r="D164" s="3" t="s">
        <v>33</v>
      </c>
      <c r="E164" s="1">
        <v>879</v>
      </c>
      <c r="F164">
        <v>293</v>
      </c>
      <c r="G164" s="1">
        <v>10</v>
      </c>
      <c r="H164" s="1">
        <v>20</v>
      </c>
      <c r="I164" s="3" t="str">
        <f>TEXT(financials[[#This Row],[Schedule Delivery Date]],"mmmm")</f>
        <v>January</v>
      </c>
      <c r="J164">
        <f>YEAR(financials[[#This Row],[Schedule Delivery Date]])</f>
        <v>2026</v>
      </c>
      <c r="K164" s="7">
        <v>12</v>
      </c>
      <c r="L164" s="9">
        <v>46025</v>
      </c>
      <c r="M164" s="9">
        <v>46026</v>
      </c>
    </row>
    <row r="165" spans="1:13" x14ac:dyDescent="0.25">
      <c r="A165" t="s">
        <v>9</v>
      </c>
      <c r="B165">
        <v>339</v>
      </c>
      <c r="C165" t="s">
        <v>12</v>
      </c>
      <c r="D165" s="3" t="s">
        <v>35</v>
      </c>
      <c r="E165" s="1">
        <v>879</v>
      </c>
      <c r="F165">
        <v>293</v>
      </c>
      <c r="G165" s="1">
        <v>250</v>
      </c>
      <c r="H165" s="1">
        <v>20</v>
      </c>
      <c r="I165" s="3" t="str">
        <f>TEXT(financials[[#This Row],[Schedule Delivery Date]],"mmmm")</f>
        <v>January</v>
      </c>
      <c r="J165">
        <f>YEAR(financials[[#This Row],[Schedule Delivery Date]])</f>
        <v>2026</v>
      </c>
      <c r="K165" s="7">
        <v>12</v>
      </c>
      <c r="L165" s="9">
        <v>46030</v>
      </c>
      <c r="M165" s="9">
        <v>46026</v>
      </c>
    </row>
    <row r="166" spans="1:13" x14ac:dyDescent="0.25">
      <c r="A166" t="s">
        <v>10</v>
      </c>
      <c r="B166">
        <v>340</v>
      </c>
      <c r="C166" t="s">
        <v>11</v>
      </c>
      <c r="D166" s="3" t="s">
        <v>33</v>
      </c>
      <c r="E166" s="1">
        <v>1458.6</v>
      </c>
      <c r="F166">
        <v>2431</v>
      </c>
      <c r="G166" s="1">
        <v>10</v>
      </c>
      <c r="H166" s="1">
        <v>12</v>
      </c>
      <c r="I166" s="3" t="str">
        <f>TEXT(financials[[#This Row],[Schedule Delivery Date]],"mmmm")</f>
        <v>January</v>
      </c>
      <c r="J166">
        <f>YEAR(financials[[#This Row],[Schedule Delivery Date]])</f>
        <v>2026</v>
      </c>
      <c r="K166" s="7">
        <v>12</v>
      </c>
      <c r="L166" s="9">
        <v>46025</v>
      </c>
      <c r="M166" s="9">
        <v>46027</v>
      </c>
    </row>
    <row r="167" spans="1:13" x14ac:dyDescent="0.25">
      <c r="A167" t="s">
        <v>10</v>
      </c>
      <c r="B167">
        <v>341</v>
      </c>
      <c r="C167" t="s">
        <v>11</v>
      </c>
      <c r="D167" s="3" t="s">
        <v>34</v>
      </c>
      <c r="E167" s="1">
        <v>1458.6</v>
      </c>
      <c r="F167">
        <v>2431</v>
      </c>
      <c r="G167" s="1">
        <v>120</v>
      </c>
      <c r="H167" s="1">
        <v>12</v>
      </c>
      <c r="I167" s="3" t="str">
        <f>TEXT(financials[[#This Row],[Schedule Delivery Date]],"mmmm")</f>
        <v>January</v>
      </c>
      <c r="J167">
        <f>YEAR(financials[[#This Row],[Schedule Delivery Date]])</f>
        <v>2026</v>
      </c>
      <c r="K167" s="7">
        <v>12</v>
      </c>
      <c r="L167" s="9">
        <v>46030</v>
      </c>
      <c r="M167" s="9">
        <v>46024</v>
      </c>
    </row>
    <row r="168" spans="1:13" x14ac:dyDescent="0.25">
      <c r="A168" t="s">
        <v>10</v>
      </c>
      <c r="B168">
        <v>342</v>
      </c>
      <c r="C168" t="s">
        <v>13</v>
      </c>
      <c r="D168" s="3" t="s">
        <v>33</v>
      </c>
      <c r="E168" s="1">
        <v>1580.28</v>
      </c>
      <c r="F168">
        <v>1013</v>
      </c>
      <c r="G168" s="1">
        <v>10</v>
      </c>
      <c r="H168" s="1">
        <v>12</v>
      </c>
      <c r="I168" s="3" t="str">
        <f>TEXT(financials[[#This Row],[Schedule Delivery Date]],"mmmm")</f>
        <v>January</v>
      </c>
      <c r="J168">
        <f>YEAR(financials[[#This Row],[Schedule Delivery Date]])</f>
        <v>2026</v>
      </c>
      <c r="K168" s="7">
        <v>12</v>
      </c>
      <c r="L168" s="9">
        <v>46025</v>
      </c>
      <c r="M168" s="9">
        <v>46025</v>
      </c>
    </row>
    <row r="169" spans="1:13" x14ac:dyDescent="0.25">
      <c r="A169" t="s">
        <v>10</v>
      </c>
      <c r="B169">
        <v>343</v>
      </c>
      <c r="C169" t="s">
        <v>13</v>
      </c>
      <c r="D169" s="3" t="s">
        <v>34</v>
      </c>
      <c r="E169" s="1">
        <v>1580.28</v>
      </c>
      <c r="F169">
        <v>1013</v>
      </c>
      <c r="G169" s="1">
        <v>120</v>
      </c>
      <c r="H169" s="1">
        <v>12</v>
      </c>
      <c r="I169" s="3" t="str">
        <f>TEXT(financials[[#This Row],[Schedule Delivery Date]],"mmmm")</f>
        <v>January</v>
      </c>
      <c r="J169">
        <f>YEAR(financials[[#This Row],[Schedule Delivery Date]])</f>
        <v>2026</v>
      </c>
      <c r="K169" s="7">
        <v>12</v>
      </c>
      <c r="L169" s="9">
        <v>46030</v>
      </c>
      <c r="M169" s="9">
        <v>46028</v>
      </c>
    </row>
    <row r="170" spans="1:13" x14ac:dyDescent="0.25">
      <c r="A170" t="s">
        <v>10</v>
      </c>
      <c r="B170">
        <v>344</v>
      </c>
      <c r="C170" t="s">
        <v>55</v>
      </c>
      <c r="D170" s="3" t="s">
        <v>33</v>
      </c>
      <c r="E170" s="1">
        <v>1645.2</v>
      </c>
      <c r="F170">
        <v>914</v>
      </c>
      <c r="G170" s="1">
        <v>10</v>
      </c>
      <c r="H170" s="1">
        <v>12</v>
      </c>
      <c r="I170" s="3" t="str">
        <f>TEXT(financials[[#This Row],[Schedule Delivery Date]],"mmmm")</f>
        <v>January</v>
      </c>
      <c r="J170">
        <f>YEAR(financials[[#This Row],[Schedule Delivery Date]])</f>
        <v>2026</v>
      </c>
      <c r="K170" s="7">
        <v>12</v>
      </c>
      <c r="L170" s="9">
        <v>46034</v>
      </c>
      <c r="M170" s="9">
        <v>46034</v>
      </c>
    </row>
    <row r="171" spans="1:13" x14ac:dyDescent="0.25">
      <c r="A171" t="s">
        <v>10</v>
      </c>
      <c r="B171">
        <v>345</v>
      </c>
      <c r="C171" t="s">
        <v>55</v>
      </c>
      <c r="D171" s="3" t="s">
        <v>34</v>
      </c>
      <c r="E171" s="1">
        <v>1645.2</v>
      </c>
      <c r="F171">
        <v>914</v>
      </c>
      <c r="G171" s="1">
        <v>120</v>
      </c>
      <c r="H171" s="1">
        <v>12</v>
      </c>
      <c r="I171" s="3" t="str">
        <f>TEXT(financials[[#This Row],[Schedule Delivery Date]],"mmmm")</f>
        <v>January</v>
      </c>
      <c r="J171">
        <f>YEAR(financials[[#This Row],[Schedule Delivery Date]])</f>
        <v>2026</v>
      </c>
      <c r="K171" s="7">
        <v>12</v>
      </c>
      <c r="L171" s="9">
        <v>46026</v>
      </c>
      <c r="M171" s="9">
        <v>46026</v>
      </c>
    </row>
    <row r="172" spans="1:13" x14ac:dyDescent="0.25">
      <c r="A172" t="s">
        <v>9</v>
      </c>
      <c r="B172">
        <v>346</v>
      </c>
      <c r="C172" t="s">
        <v>55</v>
      </c>
      <c r="D172" s="3" t="s">
        <v>33</v>
      </c>
      <c r="E172" s="1">
        <v>2663</v>
      </c>
      <c r="F172">
        <v>2663</v>
      </c>
      <c r="G172" s="1">
        <v>10</v>
      </c>
      <c r="H172" s="1">
        <v>20</v>
      </c>
      <c r="I172" s="3" t="str">
        <f>TEXT(financials[[#This Row],[Schedule Delivery Date]],"mmmm")</f>
        <v>January</v>
      </c>
      <c r="J172">
        <f>YEAR(financials[[#This Row],[Schedule Delivery Date]])</f>
        <v>2026</v>
      </c>
      <c r="K172" s="7">
        <v>12</v>
      </c>
      <c r="L172" s="9">
        <v>46026</v>
      </c>
      <c r="M172" s="9">
        <v>46026</v>
      </c>
    </row>
    <row r="173" spans="1:13" x14ac:dyDescent="0.25">
      <c r="A173" t="s">
        <v>9</v>
      </c>
      <c r="B173">
        <v>347</v>
      </c>
      <c r="C173" t="s">
        <v>55</v>
      </c>
      <c r="D173" s="3" t="s">
        <v>35</v>
      </c>
      <c r="E173" s="1">
        <v>2663</v>
      </c>
      <c r="F173">
        <v>2663</v>
      </c>
      <c r="G173" s="1">
        <v>250</v>
      </c>
      <c r="H173" s="1">
        <v>20</v>
      </c>
      <c r="I173" s="3" t="str">
        <f>TEXT(financials[[#This Row],[Schedule Delivery Date]],"mmmm")</f>
        <v>January</v>
      </c>
      <c r="J173">
        <f>YEAR(financials[[#This Row],[Schedule Delivery Date]])</f>
        <v>2026</v>
      </c>
      <c r="K173" s="7">
        <v>12</v>
      </c>
      <c r="L173" s="9">
        <v>46026</v>
      </c>
      <c r="M173" s="9">
        <v>46026</v>
      </c>
    </row>
    <row r="174" spans="1:13" x14ac:dyDescent="0.25">
      <c r="A174" t="s">
        <v>9</v>
      </c>
      <c r="B174">
        <v>348</v>
      </c>
      <c r="C174" t="s">
        <v>14</v>
      </c>
      <c r="D174" s="3" t="s">
        <v>33</v>
      </c>
      <c r="E174" s="1">
        <v>2959.2</v>
      </c>
      <c r="F174">
        <v>1233</v>
      </c>
      <c r="G174" s="1">
        <v>10</v>
      </c>
      <c r="H174" s="1">
        <v>20</v>
      </c>
      <c r="I174" s="3" t="str">
        <f>TEXT(financials[[#This Row],[Schedule Delivery Date]],"mmmm")</f>
        <v>January</v>
      </c>
      <c r="J174">
        <f>YEAR(financials[[#This Row],[Schedule Delivery Date]])</f>
        <v>2026</v>
      </c>
      <c r="K174" s="7">
        <v>12</v>
      </c>
      <c r="L174" s="9">
        <v>46034</v>
      </c>
      <c r="M174" s="9">
        <v>46034</v>
      </c>
    </row>
    <row r="175" spans="1:13" x14ac:dyDescent="0.25">
      <c r="A175" t="s">
        <v>9</v>
      </c>
      <c r="B175">
        <v>349</v>
      </c>
      <c r="C175" t="s">
        <v>14</v>
      </c>
      <c r="D175" s="3" t="s">
        <v>35</v>
      </c>
      <c r="E175" s="1">
        <v>2959.2</v>
      </c>
      <c r="F175">
        <v>1233</v>
      </c>
      <c r="G175" s="1">
        <v>250</v>
      </c>
      <c r="H175" s="1">
        <v>20</v>
      </c>
      <c r="I175" s="3" t="str">
        <f>TEXT(financials[[#This Row],[Schedule Delivery Date]],"mmmm")</f>
        <v>January</v>
      </c>
      <c r="J175">
        <f>YEAR(financials[[#This Row],[Schedule Delivery Date]])</f>
        <v>2026</v>
      </c>
      <c r="K175" s="7">
        <v>12</v>
      </c>
      <c r="L175" s="9">
        <v>46026</v>
      </c>
      <c r="M175" s="9">
        <v>46025</v>
      </c>
    </row>
    <row r="176" spans="1:13" x14ac:dyDescent="0.25">
      <c r="A176" t="s">
        <v>7</v>
      </c>
      <c r="B176">
        <v>350</v>
      </c>
      <c r="C176" t="s">
        <v>12</v>
      </c>
      <c r="D176" s="3" t="s">
        <v>32</v>
      </c>
      <c r="E176" s="1">
        <v>3108</v>
      </c>
      <c r="F176">
        <v>2072</v>
      </c>
      <c r="G176" s="1">
        <v>5</v>
      </c>
      <c r="H176" s="1">
        <v>15</v>
      </c>
      <c r="I176" s="3" t="str">
        <f>TEXT(financials[[#This Row],[Schedule Delivery Date]],"mmmm")</f>
        <v>January</v>
      </c>
      <c r="J176">
        <f>YEAR(financials[[#This Row],[Schedule Delivery Date]])</f>
        <v>2026</v>
      </c>
      <c r="K176" s="7">
        <v>12</v>
      </c>
      <c r="L176" s="9">
        <v>46026</v>
      </c>
      <c r="M176" s="9">
        <v>46025</v>
      </c>
    </row>
    <row r="177" spans="1:13" x14ac:dyDescent="0.25">
      <c r="A177" t="s">
        <v>7</v>
      </c>
      <c r="B177">
        <v>351</v>
      </c>
      <c r="C177" t="s">
        <v>12</v>
      </c>
      <c r="D177" s="3" t="s">
        <v>36</v>
      </c>
      <c r="E177" s="1">
        <v>3108</v>
      </c>
      <c r="F177">
        <v>2072</v>
      </c>
      <c r="G177" s="1">
        <v>260</v>
      </c>
      <c r="H177" s="1">
        <v>15</v>
      </c>
      <c r="I177" s="3" t="str">
        <f>TEXT(financials[[#This Row],[Schedule Delivery Date]],"mmmm")</f>
        <v>January</v>
      </c>
      <c r="J177">
        <f>YEAR(financials[[#This Row],[Schedule Delivery Date]])</f>
        <v>2026</v>
      </c>
      <c r="K177" s="7">
        <v>12</v>
      </c>
      <c r="L177" s="9">
        <v>46026</v>
      </c>
      <c r="M177" s="9">
        <v>46026</v>
      </c>
    </row>
    <row r="178" spans="1:13" x14ac:dyDescent="0.25">
      <c r="A178" t="s">
        <v>7</v>
      </c>
      <c r="B178">
        <v>352</v>
      </c>
      <c r="C178" t="s">
        <v>14</v>
      </c>
      <c r="D178" s="3" t="s">
        <v>32</v>
      </c>
      <c r="E178" s="1">
        <v>3559.05</v>
      </c>
      <c r="F178">
        <v>2157</v>
      </c>
      <c r="G178" s="1">
        <v>5</v>
      </c>
      <c r="H178" s="1">
        <v>15</v>
      </c>
      <c r="I178" s="3" t="str">
        <f>TEXT(financials[[#This Row],[Schedule Delivery Date]],"mmmm")</f>
        <v>January</v>
      </c>
      <c r="J178">
        <f>YEAR(financials[[#This Row],[Schedule Delivery Date]])</f>
        <v>2026</v>
      </c>
      <c r="K178" s="7">
        <v>12</v>
      </c>
      <c r="L178" s="9">
        <v>46026</v>
      </c>
      <c r="M178" s="9">
        <v>46026</v>
      </c>
    </row>
    <row r="179" spans="1:13" x14ac:dyDescent="0.25">
      <c r="A179" t="s">
        <v>7</v>
      </c>
      <c r="B179">
        <v>353</v>
      </c>
      <c r="C179" t="s">
        <v>14</v>
      </c>
      <c r="D179" s="3" t="s">
        <v>36</v>
      </c>
      <c r="E179" s="1">
        <v>3559.05</v>
      </c>
      <c r="F179">
        <v>2157</v>
      </c>
      <c r="G179" s="1">
        <v>260</v>
      </c>
      <c r="H179" s="1">
        <v>15</v>
      </c>
      <c r="I179" s="3" t="str">
        <f>TEXT(financials[[#This Row],[Schedule Delivery Date]],"mmmm")</f>
        <v>January</v>
      </c>
      <c r="J179">
        <f>YEAR(financials[[#This Row],[Schedule Delivery Date]])</f>
        <v>2026</v>
      </c>
      <c r="K179" s="7">
        <v>12</v>
      </c>
      <c r="L179" s="9">
        <v>46026</v>
      </c>
      <c r="M179" s="9">
        <v>46025</v>
      </c>
    </row>
    <row r="180" spans="1:13" x14ac:dyDescent="0.25">
      <c r="A180" t="s">
        <v>9</v>
      </c>
      <c r="B180">
        <v>354</v>
      </c>
      <c r="C180" t="s">
        <v>13</v>
      </c>
      <c r="D180" s="3" t="s">
        <v>33</v>
      </c>
      <c r="E180" s="1">
        <v>3674.4</v>
      </c>
      <c r="F180">
        <v>1531</v>
      </c>
      <c r="G180" s="1">
        <v>10</v>
      </c>
      <c r="H180" s="1">
        <v>20</v>
      </c>
      <c r="I180" s="3" t="str">
        <f>TEXT(financials[[#This Row],[Schedule Delivery Date]],"mmmm")</f>
        <v>January</v>
      </c>
      <c r="J180">
        <f>YEAR(financials[[#This Row],[Schedule Delivery Date]])</f>
        <v>2026</v>
      </c>
      <c r="K180" s="7">
        <v>12</v>
      </c>
      <c r="L180" s="9">
        <v>46026</v>
      </c>
      <c r="M180" s="9">
        <v>46025</v>
      </c>
    </row>
    <row r="181" spans="1:13" x14ac:dyDescent="0.25">
      <c r="A181" t="s">
        <v>9</v>
      </c>
      <c r="B181">
        <v>355</v>
      </c>
      <c r="C181" t="s">
        <v>13</v>
      </c>
      <c r="D181" s="3" t="s">
        <v>35</v>
      </c>
      <c r="E181" s="1">
        <v>3674.4</v>
      </c>
      <c r="F181">
        <v>1531</v>
      </c>
      <c r="G181" s="1">
        <v>250</v>
      </c>
      <c r="H181" s="1">
        <v>20</v>
      </c>
      <c r="I181" s="3" t="str">
        <f>TEXT(financials[[#This Row],[Schedule Delivery Date]],"mmmm")</f>
        <v>January</v>
      </c>
      <c r="J181">
        <f>YEAR(financials[[#This Row],[Schedule Delivery Date]])</f>
        <v>2026</v>
      </c>
      <c r="K181" s="7">
        <v>12</v>
      </c>
      <c r="L181" s="9">
        <v>46026</v>
      </c>
      <c r="M181" s="9">
        <v>46024</v>
      </c>
    </row>
    <row r="182" spans="1:13" x14ac:dyDescent="0.25">
      <c r="A182" t="s">
        <v>9</v>
      </c>
      <c r="B182">
        <v>356</v>
      </c>
      <c r="C182" t="s">
        <v>55</v>
      </c>
      <c r="D182" s="3" t="s">
        <v>31</v>
      </c>
      <c r="E182" s="1">
        <v>3836</v>
      </c>
      <c r="F182">
        <v>274</v>
      </c>
      <c r="G182" s="1">
        <v>3</v>
      </c>
      <c r="H182" s="1">
        <v>350</v>
      </c>
      <c r="I182" s="3" t="str">
        <f>TEXT(financials[[#This Row],[Schedule Delivery Date]],"mmmm")</f>
        <v>January</v>
      </c>
      <c r="J182">
        <f>YEAR(financials[[#This Row],[Schedule Delivery Date]])</f>
        <v>2026</v>
      </c>
      <c r="K182" s="7">
        <v>12</v>
      </c>
      <c r="L182" s="9">
        <v>46026</v>
      </c>
      <c r="M182" s="9">
        <v>46025</v>
      </c>
    </row>
    <row r="183" spans="1:13" x14ac:dyDescent="0.25">
      <c r="A183" t="s">
        <v>9</v>
      </c>
      <c r="B183">
        <v>357</v>
      </c>
      <c r="C183" t="s">
        <v>55</v>
      </c>
      <c r="D183" s="3" t="s">
        <v>33</v>
      </c>
      <c r="E183" s="1">
        <v>3836</v>
      </c>
      <c r="F183">
        <v>274</v>
      </c>
      <c r="G183" s="1">
        <v>10</v>
      </c>
      <c r="H183" s="1">
        <v>350</v>
      </c>
      <c r="I183" s="3" t="str">
        <f>TEXT(financials[[#This Row],[Schedule Delivery Date]],"mmmm")</f>
        <v>January</v>
      </c>
      <c r="J183">
        <f>YEAR(financials[[#This Row],[Schedule Delivery Date]])</f>
        <v>2026</v>
      </c>
      <c r="K183" s="7">
        <v>12</v>
      </c>
      <c r="L183" s="9">
        <v>46026</v>
      </c>
      <c r="M183" s="9">
        <v>46026</v>
      </c>
    </row>
    <row r="184" spans="1:13" x14ac:dyDescent="0.25">
      <c r="A184" t="s">
        <v>8</v>
      </c>
      <c r="B184">
        <v>358</v>
      </c>
      <c r="C184" t="s">
        <v>12</v>
      </c>
      <c r="D184" s="3" t="s">
        <v>32</v>
      </c>
      <c r="E184" s="1">
        <v>4826.25</v>
      </c>
      <c r="F184">
        <v>1287</v>
      </c>
      <c r="G184" s="1">
        <v>5</v>
      </c>
      <c r="H184" s="1">
        <v>125</v>
      </c>
      <c r="I184" s="3" t="str">
        <f>TEXT(financials[[#This Row],[Schedule Delivery Date]],"mmmm")</f>
        <v>January</v>
      </c>
      <c r="J184">
        <f>YEAR(financials[[#This Row],[Schedule Delivery Date]])</f>
        <v>2026</v>
      </c>
      <c r="K184" s="7">
        <v>12</v>
      </c>
      <c r="L184" s="9">
        <v>46026</v>
      </c>
      <c r="M184" s="9">
        <v>46024</v>
      </c>
    </row>
    <row r="185" spans="1:13" x14ac:dyDescent="0.25">
      <c r="A185" t="s">
        <v>8</v>
      </c>
      <c r="B185">
        <v>359</v>
      </c>
      <c r="C185" t="s">
        <v>12</v>
      </c>
      <c r="D185" s="3" t="s">
        <v>33</v>
      </c>
      <c r="E185" s="1">
        <v>4826.25</v>
      </c>
      <c r="F185">
        <v>1287</v>
      </c>
      <c r="G185" s="1">
        <v>10</v>
      </c>
      <c r="H185" s="1">
        <v>125</v>
      </c>
      <c r="I185" s="3" t="str">
        <f>TEXT(financials[[#This Row],[Schedule Delivery Date]],"mmmm")</f>
        <v>January</v>
      </c>
      <c r="J185">
        <f>YEAR(financials[[#This Row],[Schedule Delivery Date]])</f>
        <v>2026</v>
      </c>
      <c r="K185" s="7">
        <v>12</v>
      </c>
      <c r="L185" s="9">
        <v>46026</v>
      </c>
      <c r="M185" s="9">
        <v>46026</v>
      </c>
    </row>
    <row r="186" spans="1:13" x14ac:dyDescent="0.25">
      <c r="A186" t="s">
        <v>7</v>
      </c>
      <c r="B186">
        <v>360</v>
      </c>
      <c r="C186" t="s">
        <v>11</v>
      </c>
      <c r="D186" s="3" t="s">
        <v>31</v>
      </c>
      <c r="E186" s="1">
        <v>4830</v>
      </c>
      <c r="F186">
        <v>2300</v>
      </c>
      <c r="G186" s="1">
        <v>3</v>
      </c>
      <c r="H186" s="1">
        <v>15</v>
      </c>
      <c r="I186" s="3" t="str">
        <f>TEXT(financials[[#This Row],[Schedule Delivery Date]],"mmmm")</f>
        <v>January</v>
      </c>
      <c r="J186">
        <f>YEAR(financials[[#This Row],[Schedule Delivery Date]])</f>
        <v>2026</v>
      </c>
      <c r="K186" s="7">
        <v>12</v>
      </c>
      <c r="L186" s="9">
        <v>46026</v>
      </c>
      <c r="M186" s="9">
        <v>46026</v>
      </c>
    </row>
    <row r="187" spans="1:13" x14ac:dyDescent="0.25">
      <c r="A187" t="s">
        <v>7</v>
      </c>
      <c r="B187">
        <v>361</v>
      </c>
      <c r="C187" t="s">
        <v>11</v>
      </c>
      <c r="D187" s="3" t="s">
        <v>32</v>
      </c>
      <c r="E187" s="1">
        <v>4830</v>
      </c>
      <c r="F187">
        <v>2300</v>
      </c>
      <c r="G187" s="1">
        <v>5</v>
      </c>
      <c r="H187" s="1">
        <v>15</v>
      </c>
      <c r="I187" s="3" t="str">
        <f>TEXT(financials[[#This Row],[Schedule Delivery Date]],"mmmm")</f>
        <v>January</v>
      </c>
      <c r="J187">
        <f>YEAR(financials[[#This Row],[Schedule Delivery Date]])</f>
        <v>2026</v>
      </c>
      <c r="K187" s="7">
        <v>12</v>
      </c>
      <c r="L187" s="9">
        <v>46026</v>
      </c>
      <c r="M187" s="9">
        <v>46026</v>
      </c>
    </row>
    <row r="188" spans="1:13" x14ac:dyDescent="0.25">
      <c r="A188" t="s">
        <v>8</v>
      </c>
      <c r="B188">
        <v>362</v>
      </c>
      <c r="C188" t="s">
        <v>14</v>
      </c>
      <c r="D188" s="3" t="s">
        <v>32</v>
      </c>
      <c r="E188" s="1">
        <v>5690</v>
      </c>
      <c r="F188">
        <v>1138</v>
      </c>
      <c r="G188" s="1">
        <v>5</v>
      </c>
      <c r="H188" s="1">
        <v>125</v>
      </c>
      <c r="I188" s="3" t="str">
        <f>TEXT(financials[[#This Row],[Schedule Delivery Date]],"mmmm")</f>
        <v>January</v>
      </c>
      <c r="J188">
        <f>YEAR(financials[[#This Row],[Schedule Delivery Date]])</f>
        <v>2026</v>
      </c>
      <c r="K188" s="7">
        <v>12</v>
      </c>
      <c r="L188" s="9">
        <v>46026</v>
      </c>
      <c r="M188" s="9">
        <v>46025</v>
      </c>
    </row>
    <row r="189" spans="1:13" x14ac:dyDescent="0.25">
      <c r="A189" t="s">
        <v>8</v>
      </c>
      <c r="B189">
        <v>363</v>
      </c>
      <c r="C189" t="s">
        <v>14</v>
      </c>
      <c r="D189" s="3" t="s">
        <v>33</v>
      </c>
      <c r="E189" s="1">
        <v>5690</v>
      </c>
      <c r="F189">
        <v>1138</v>
      </c>
      <c r="G189" s="1">
        <v>10</v>
      </c>
      <c r="H189" s="1">
        <v>125</v>
      </c>
      <c r="I189" s="3" t="str">
        <f>TEXT(financials[[#This Row],[Schedule Delivery Date]],"mmmm")</f>
        <v>January</v>
      </c>
      <c r="J189">
        <f>YEAR(financials[[#This Row],[Schedule Delivery Date]])</f>
        <v>2026</v>
      </c>
      <c r="K189" s="7">
        <v>12</v>
      </c>
      <c r="L189" s="9">
        <v>46026</v>
      </c>
      <c r="M189" s="9">
        <v>46025</v>
      </c>
    </row>
    <row r="190" spans="1:13" x14ac:dyDescent="0.25">
      <c r="A190" t="s">
        <v>8</v>
      </c>
      <c r="B190">
        <v>364</v>
      </c>
      <c r="C190" t="s">
        <v>13</v>
      </c>
      <c r="D190" s="3" t="s">
        <v>32</v>
      </c>
      <c r="E190" s="1">
        <v>6397.5</v>
      </c>
      <c r="F190">
        <v>1706</v>
      </c>
      <c r="G190" s="1">
        <v>5</v>
      </c>
      <c r="H190" s="1">
        <v>125</v>
      </c>
      <c r="I190" s="3" t="str">
        <f>TEXT(financials[[#This Row],[Schedule Delivery Date]],"mmmm")</f>
        <v>January</v>
      </c>
      <c r="J190">
        <f>YEAR(financials[[#This Row],[Schedule Delivery Date]])</f>
        <v>2026</v>
      </c>
      <c r="K190" s="7">
        <v>12</v>
      </c>
      <c r="L190" s="9">
        <v>46026</v>
      </c>
      <c r="M190" s="9">
        <v>46026</v>
      </c>
    </row>
    <row r="191" spans="1:13" x14ac:dyDescent="0.25">
      <c r="A191" t="s">
        <v>8</v>
      </c>
      <c r="B191">
        <v>365</v>
      </c>
      <c r="C191" t="s">
        <v>13</v>
      </c>
      <c r="D191" s="3" t="s">
        <v>33</v>
      </c>
      <c r="E191" s="1">
        <v>6397.5</v>
      </c>
      <c r="F191">
        <v>1706</v>
      </c>
      <c r="G191" s="1">
        <v>10</v>
      </c>
      <c r="H191" s="1">
        <v>125</v>
      </c>
      <c r="I191" s="3" t="str">
        <f>TEXT(financials[[#This Row],[Schedule Delivery Date]],"mmmm")</f>
        <v>January</v>
      </c>
      <c r="J191">
        <f>YEAR(financials[[#This Row],[Schedule Delivery Date]])</f>
        <v>2026</v>
      </c>
      <c r="K191" s="7">
        <v>12</v>
      </c>
      <c r="L191" s="9">
        <v>46026</v>
      </c>
      <c r="M191" s="9">
        <v>46025</v>
      </c>
    </row>
    <row r="192" spans="1:13" x14ac:dyDescent="0.25">
      <c r="A192" t="s">
        <v>8</v>
      </c>
      <c r="B192">
        <v>366</v>
      </c>
      <c r="C192" t="s">
        <v>11</v>
      </c>
      <c r="D192" s="3" t="s">
        <v>33</v>
      </c>
      <c r="E192" s="1">
        <v>6822.5</v>
      </c>
      <c r="F192">
        <v>2729</v>
      </c>
      <c r="G192" s="1">
        <v>10</v>
      </c>
      <c r="H192" s="1">
        <v>125</v>
      </c>
      <c r="I192" s="3" t="str">
        <f>TEXT(financials[[#This Row],[Schedule Delivery Date]],"mmmm")</f>
        <v>January</v>
      </c>
      <c r="J192">
        <f>YEAR(financials[[#This Row],[Schedule Delivery Date]])</f>
        <v>2026</v>
      </c>
      <c r="K192" s="7">
        <v>12</v>
      </c>
      <c r="L192" s="9">
        <v>46026</v>
      </c>
      <c r="M192" s="9">
        <v>46025</v>
      </c>
    </row>
    <row r="193" spans="1:13" x14ac:dyDescent="0.25">
      <c r="A193" t="s">
        <v>8</v>
      </c>
      <c r="B193">
        <v>367</v>
      </c>
      <c r="C193" t="s">
        <v>11</v>
      </c>
      <c r="D193" s="3" t="s">
        <v>35</v>
      </c>
      <c r="E193" s="1">
        <v>6822.5</v>
      </c>
      <c r="F193">
        <v>2729</v>
      </c>
      <c r="G193" s="1">
        <v>250</v>
      </c>
      <c r="H193" s="1">
        <v>125</v>
      </c>
      <c r="I193" s="3" t="str">
        <f>TEXT(financials[[#This Row],[Schedule Delivery Date]],"mmmm")</f>
        <v>January</v>
      </c>
      <c r="J193">
        <f>YEAR(financials[[#This Row],[Schedule Delivery Date]])</f>
        <v>2026</v>
      </c>
      <c r="K193" s="7">
        <v>12</v>
      </c>
      <c r="L193" s="9">
        <v>46026</v>
      </c>
      <c r="M193" s="9">
        <v>46026</v>
      </c>
    </row>
    <row r="194" spans="1:13" x14ac:dyDescent="0.25">
      <c r="A194" t="s">
        <v>9</v>
      </c>
      <c r="B194">
        <v>368</v>
      </c>
      <c r="C194" t="s">
        <v>12</v>
      </c>
      <c r="D194" s="3" t="s">
        <v>31</v>
      </c>
      <c r="E194" s="1">
        <v>7542.5</v>
      </c>
      <c r="F194">
        <v>2155</v>
      </c>
      <c r="G194" s="1">
        <v>3</v>
      </c>
      <c r="H194" s="1">
        <v>350</v>
      </c>
      <c r="I194" s="3" t="str">
        <f>TEXT(financials[[#This Row],[Schedule Delivery Date]],"mmmm")</f>
        <v>January</v>
      </c>
      <c r="J194">
        <f>YEAR(financials[[#This Row],[Schedule Delivery Date]])</f>
        <v>2026</v>
      </c>
      <c r="K194" s="7">
        <v>12</v>
      </c>
      <c r="L194" s="9">
        <v>46026</v>
      </c>
      <c r="M194" s="9">
        <v>46026</v>
      </c>
    </row>
    <row r="195" spans="1:13" x14ac:dyDescent="0.25">
      <c r="A195" t="s">
        <v>9</v>
      </c>
      <c r="B195">
        <v>369</v>
      </c>
      <c r="C195" t="s">
        <v>12</v>
      </c>
      <c r="D195" s="3" t="s">
        <v>33</v>
      </c>
      <c r="E195" s="1">
        <v>7542.5</v>
      </c>
      <c r="F195">
        <v>2155</v>
      </c>
      <c r="G195" s="1">
        <v>10</v>
      </c>
      <c r="H195" s="1">
        <v>350</v>
      </c>
      <c r="I195" s="3" t="str">
        <f>TEXT(financials[[#This Row],[Schedule Delivery Date]],"mmmm")</f>
        <v>January</v>
      </c>
      <c r="J195">
        <f>YEAR(financials[[#This Row],[Schedule Delivery Date]])</f>
        <v>2026</v>
      </c>
      <c r="K195" s="7">
        <v>12</v>
      </c>
      <c r="L195" s="9">
        <v>46026</v>
      </c>
      <c r="M195" s="9">
        <v>46025</v>
      </c>
    </row>
    <row r="196" spans="1:13" x14ac:dyDescent="0.25">
      <c r="A196" t="s">
        <v>6</v>
      </c>
      <c r="B196">
        <v>370</v>
      </c>
      <c r="C196" t="s">
        <v>11</v>
      </c>
      <c r="D196" s="3" t="s">
        <v>33</v>
      </c>
      <c r="E196" s="1">
        <v>11496</v>
      </c>
      <c r="F196">
        <v>1916</v>
      </c>
      <c r="G196" s="1">
        <v>10</v>
      </c>
      <c r="H196" s="1">
        <v>300</v>
      </c>
      <c r="I196" s="3" t="str">
        <f>TEXT(financials[[#This Row],[Schedule Delivery Date]],"mmmm")</f>
        <v>March</v>
      </c>
      <c r="J196">
        <f>YEAR(financials[[#This Row],[Schedule Delivery Date]])</f>
        <v>2026</v>
      </c>
      <c r="K196" s="7">
        <v>12</v>
      </c>
      <c r="L196" s="9">
        <v>46094</v>
      </c>
      <c r="M196" s="9">
        <v>46098</v>
      </c>
    </row>
    <row r="197" spans="1:13" x14ac:dyDescent="0.25">
      <c r="A197" t="s">
        <v>6</v>
      </c>
      <c r="B197">
        <v>371</v>
      </c>
      <c r="C197" t="s">
        <v>11</v>
      </c>
      <c r="D197" s="3" t="s">
        <v>36</v>
      </c>
      <c r="E197" s="1">
        <v>11496</v>
      </c>
      <c r="F197">
        <v>1916</v>
      </c>
      <c r="G197" s="1">
        <v>260</v>
      </c>
      <c r="H197" s="1">
        <v>300</v>
      </c>
      <c r="I197" s="3" t="str">
        <f>TEXT(financials[[#This Row],[Schedule Delivery Date]],"mmmm")</f>
        <v>January</v>
      </c>
      <c r="J197">
        <f>YEAR(financials[[#This Row],[Schedule Delivery Date]])</f>
        <v>2026</v>
      </c>
      <c r="K197" s="7">
        <v>12</v>
      </c>
      <c r="L197" s="9">
        <v>46026</v>
      </c>
      <c r="M197" s="9">
        <v>46026</v>
      </c>
    </row>
    <row r="198" spans="1:13" x14ac:dyDescent="0.25">
      <c r="A198" t="s">
        <v>6</v>
      </c>
      <c r="B198">
        <v>372</v>
      </c>
      <c r="C198" t="s">
        <v>14</v>
      </c>
      <c r="D198" s="3" t="s">
        <v>34</v>
      </c>
      <c r="E198" s="1">
        <v>15240</v>
      </c>
      <c r="F198">
        <v>635</v>
      </c>
      <c r="G198" s="1">
        <v>120</v>
      </c>
      <c r="H198" s="1">
        <v>300</v>
      </c>
      <c r="I198" s="3" t="str">
        <f>TEXT(financials[[#This Row],[Schedule Delivery Date]],"mmmm")</f>
        <v>January</v>
      </c>
      <c r="J198">
        <f>YEAR(financials[[#This Row],[Schedule Delivery Date]])</f>
        <v>2026</v>
      </c>
      <c r="K198" s="7">
        <v>12</v>
      </c>
      <c r="L198" s="9">
        <v>46026</v>
      </c>
      <c r="M198" s="9">
        <v>46025</v>
      </c>
    </row>
    <row r="199" spans="1:13" x14ac:dyDescent="0.25">
      <c r="A199" t="s">
        <v>6</v>
      </c>
      <c r="B199">
        <v>373</v>
      </c>
      <c r="C199" t="s">
        <v>14</v>
      </c>
      <c r="D199" s="3" t="s">
        <v>36</v>
      </c>
      <c r="E199" s="1">
        <v>15240</v>
      </c>
      <c r="F199">
        <v>635</v>
      </c>
      <c r="G199" s="1">
        <v>260</v>
      </c>
      <c r="H199" s="1">
        <v>300</v>
      </c>
      <c r="I199" s="3" t="str">
        <f>TEXT(financials[[#This Row],[Schedule Delivery Date]],"mmmm")</f>
        <v>January</v>
      </c>
      <c r="J199">
        <f>YEAR(financials[[#This Row],[Schedule Delivery Date]])</f>
        <v>2026</v>
      </c>
      <c r="K199" s="7">
        <v>12</v>
      </c>
      <c r="L199" s="9">
        <v>46026</v>
      </c>
      <c r="M199" s="9">
        <v>46026</v>
      </c>
    </row>
    <row r="200" spans="1:13" x14ac:dyDescent="0.25">
      <c r="A200" t="s">
        <v>6</v>
      </c>
      <c r="B200">
        <v>374</v>
      </c>
      <c r="C200" t="s">
        <v>13</v>
      </c>
      <c r="D200" s="3" t="s">
        <v>34</v>
      </c>
      <c r="E200" s="1">
        <v>18750</v>
      </c>
      <c r="F200">
        <v>1250</v>
      </c>
      <c r="G200" s="1">
        <v>120</v>
      </c>
      <c r="H200" s="1">
        <v>300</v>
      </c>
      <c r="I200" s="3" t="str">
        <f>TEXT(financials[[#This Row],[Schedule Delivery Date]],"mmmm")</f>
        <v>January</v>
      </c>
      <c r="J200">
        <f>YEAR(financials[[#This Row],[Schedule Delivery Date]])</f>
        <v>2026</v>
      </c>
      <c r="K200" s="7">
        <v>12</v>
      </c>
      <c r="L200" s="9">
        <v>46026</v>
      </c>
      <c r="M200" s="9">
        <v>46025</v>
      </c>
    </row>
    <row r="201" spans="1:13" x14ac:dyDescent="0.25">
      <c r="A201" t="s">
        <v>6</v>
      </c>
      <c r="B201">
        <v>375</v>
      </c>
      <c r="C201" t="s">
        <v>13</v>
      </c>
      <c r="D201" s="3" t="s">
        <v>36</v>
      </c>
      <c r="E201" s="1">
        <v>18750</v>
      </c>
      <c r="F201">
        <v>1250</v>
      </c>
      <c r="G201" s="1">
        <v>260</v>
      </c>
      <c r="H201" s="1">
        <v>300</v>
      </c>
      <c r="I201" s="3" t="str">
        <f>TEXT(financials[[#This Row],[Schedule Delivery Date]],"mmmm")</f>
        <v>January</v>
      </c>
      <c r="J201">
        <f>YEAR(financials[[#This Row],[Schedule Delivery Date]])</f>
        <v>2026</v>
      </c>
      <c r="K201" s="7">
        <v>12</v>
      </c>
      <c r="L201" s="9">
        <v>46026</v>
      </c>
      <c r="M201" s="9">
        <v>46025</v>
      </c>
    </row>
    <row r="202" spans="1:13" x14ac:dyDescent="0.25">
      <c r="A202" t="s">
        <v>9</v>
      </c>
      <c r="B202">
        <v>376</v>
      </c>
      <c r="C202" t="s">
        <v>11</v>
      </c>
      <c r="D202" s="3" t="s">
        <v>31</v>
      </c>
      <c r="E202" s="1">
        <v>19964</v>
      </c>
      <c r="F202">
        <v>2852</v>
      </c>
      <c r="G202" s="1">
        <v>3</v>
      </c>
      <c r="H202" s="1">
        <v>350</v>
      </c>
      <c r="I202" s="3" t="str">
        <f>TEXT(financials[[#This Row],[Schedule Delivery Date]],"mmmm")</f>
        <v>January</v>
      </c>
      <c r="J202">
        <f>YEAR(financials[[#This Row],[Schedule Delivery Date]])</f>
        <v>2026</v>
      </c>
      <c r="K202" s="7">
        <v>12</v>
      </c>
      <c r="L202" s="9">
        <v>46026</v>
      </c>
      <c r="M202" s="9">
        <v>46026</v>
      </c>
    </row>
    <row r="203" spans="1:13" x14ac:dyDescent="0.25">
      <c r="A203" t="s">
        <v>9</v>
      </c>
      <c r="B203">
        <v>377</v>
      </c>
      <c r="C203" t="s">
        <v>11</v>
      </c>
      <c r="D203" s="3" t="s">
        <v>33</v>
      </c>
      <c r="E203" s="1">
        <v>19964</v>
      </c>
      <c r="F203">
        <v>2852</v>
      </c>
      <c r="G203" s="1">
        <v>10</v>
      </c>
      <c r="H203" s="1">
        <v>350</v>
      </c>
      <c r="I203" s="3" t="str">
        <f>TEXT(financials[[#This Row],[Schedule Delivery Date]],"mmmm")</f>
        <v>January</v>
      </c>
      <c r="J203">
        <f>YEAR(financials[[#This Row],[Schedule Delivery Date]])</f>
        <v>2026</v>
      </c>
      <c r="K203" s="7">
        <v>12</v>
      </c>
      <c r="L203" s="9">
        <v>46026</v>
      </c>
      <c r="M203" s="9">
        <v>46026</v>
      </c>
    </row>
    <row r="204" spans="1:13" x14ac:dyDescent="0.25">
      <c r="A204" t="s">
        <v>6</v>
      </c>
      <c r="B204">
        <v>378</v>
      </c>
      <c r="C204" t="s">
        <v>12</v>
      </c>
      <c r="D204" s="3" t="s">
        <v>34</v>
      </c>
      <c r="E204" s="1">
        <v>25590</v>
      </c>
      <c r="F204">
        <v>853</v>
      </c>
      <c r="G204" s="1">
        <v>120</v>
      </c>
      <c r="H204" s="1">
        <v>300</v>
      </c>
      <c r="I204" s="3" t="str">
        <f>TEXT(financials[[#This Row],[Schedule Delivery Date]],"mmmm")</f>
        <v>January</v>
      </c>
      <c r="J204">
        <f>YEAR(financials[[#This Row],[Schedule Delivery Date]])</f>
        <v>2026</v>
      </c>
      <c r="K204" s="7">
        <v>12</v>
      </c>
      <c r="L204" s="9">
        <v>46026</v>
      </c>
      <c r="M204" s="9">
        <v>46026</v>
      </c>
    </row>
    <row r="205" spans="1:13" x14ac:dyDescent="0.25">
      <c r="A205" t="s">
        <v>6</v>
      </c>
      <c r="B205">
        <v>379</v>
      </c>
      <c r="C205" t="s">
        <v>12</v>
      </c>
      <c r="D205" s="3" t="s">
        <v>36</v>
      </c>
      <c r="E205" s="1">
        <v>25590</v>
      </c>
      <c r="F205">
        <v>853</v>
      </c>
      <c r="G205" s="1">
        <v>260</v>
      </c>
      <c r="H205" s="1">
        <v>300</v>
      </c>
      <c r="I205" s="3" t="str">
        <f>TEXT(financials[[#This Row],[Schedule Delivery Date]],"mmmm")</f>
        <v>January</v>
      </c>
      <c r="J205">
        <f>YEAR(financials[[#This Row],[Schedule Delivery Date]])</f>
        <v>2026</v>
      </c>
      <c r="K205" s="7">
        <v>12</v>
      </c>
      <c r="L205" s="9">
        <v>46026</v>
      </c>
      <c r="M205" s="9">
        <v>46028</v>
      </c>
    </row>
    <row r="206" spans="1:13" x14ac:dyDescent="0.25">
      <c r="A206" t="s">
        <v>6</v>
      </c>
      <c r="B206">
        <v>380</v>
      </c>
      <c r="C206" t="s">
        <v>55</v>
      </c>
      <c r="D206" s="3" t="s">
        <v>34</v>
      </c>
      <c r="E206" s="1">
        <v>28812</v>
      </c>
      <c r="F206">
        <v>1372</v>
      </c>
      <c r="G206" s="1">
        <v>120</v>
      </c>
      <c r="H206" s="1">
        <v>300</v>
      </c>
      <c r="I206" s="3" t="str">
        <f>TEXT(financials[[#This Row],[Schedule Delivery Date]],"mmmm")</f>
        <v>January</v>
      </c>
      <c r="J206">
        <f>YEAR(financials[[#This Row],[Schedule Delivery Date]])</f>
        <v>2026</v>
      </c>
      <c r="K206" s="7">
        <v>12</v>
      </c>
      <c r="L206" s="9">
        <v>46026</v>
      </c>
      <c r="M206" s="9">
        <v>46024</v>
      </c>
    </row>
    <row r="207" spans="1:13" x14ac:dyDescent="0.25">
      <c r="A207" t="s">
        <v>6</v>
      </c>
      <c r="B207">
        <v>381</v>
      </c>
      <c r="C207" t="s">
        <v>55</v>
      </c>
      <c r="D207" s="3" t="s">
        <v>36</v>
      </c>
      <c r="E207" s="1">
        <v>28812</v>
      </c>
      <c r="F207">
        <v>1372</v>
      </c>
      <c r="G207" s="1">
        <v>260</v>
      </c>
      <c r="H207" s="1">
        <v>300</v>
      </c>
      <c r="I207" s="3" t="str">
        <f>TEXT(financials[[#This Row],[Schedule Delivery Date]],"mmmm")</f>
        <v>January</v>
      </c>
      <c r="J207">
        <f>YEAR(financials[[#This Row],[Schedule Delivery Date]])</f>
        <v>2026</v>
      </c>
      <c r="K207" s="7">
        <v>12</v>
      </c>
      <c r="L207" s="9">
        <v>46026</v>
      </c>
      <c r="M207" s="9">
        <v>46025</v>
      </c>
    </row>
    <row r="208" spans="1:13" x14ac:dyDescent="0.25">
      <c r="A208" t="s">
        <v>8</v>
      </c>
      <c r="B208">
        <v>382</v>
      </c>
      <c r="C208" t="s">
        <v>55</v>
      </c>
      <c r="D208" s="3" t="s">
        <v>32</v>
      </c>
      <c r="E208" s="1">
        <v>31466.25</v>
      </c>
      <c r="F208">
        <v>2797</v>
      </c>
      <c r="G208" s="1">
        <v>5</v>
      </c>
      <c r="H208" s="1">
        <v>125</v>
      </c>
      <c r="I208" s="3" t="str">
        <f>TEXT(financials[[#This Row],[Schedule Delivery Date]],"mmmm")</f>
        <v>January</v>
      </c>
      <c r="J208">
        <f>YEAR(financials[[#This Row],[Schedule Delivery Date]])</f>
        <v>2026</v>
      </c>
      <c r="K208" s="7">
        <v>12</v>
      </c>
      <c r="L208" s="9">
        <v>46026</v>
      </c>
      <c r="M208" s="9">
        <v>46026</v>
      </c>
    </row>
    <row r="209" spans="1:13" x14ac:dyDescent="0.25">
      <c r="A209" t="s">
        <v>8</v>
      </c>
      <c r="B209">
        <v>383</v>
      </c>
      <c r="C209" t="s">
        <v>55</v>
      </c>
      <c r="D209" s="3" t="s">
        <v>33</v>
      </c>
      <c r="E209" s="1">
        <v>31466.25</v>
      </c>
      <c r="F209">
        <v>2797</v>
      </c>
      <c r="G209" s="1">
        <v>10</v>
      </c>
      <c r="H209" s="1">
        <v>125</v>
      </c>
      <c r="I209" s="3" t="str">
        <f>TEXT(financials[[#This Row],[Schedule Delivery Date]],"mmmm")</f>
        <v>January</v>
      </c>
      <c r="J209">
        <f>YEAR(financials[[#This Row],[Schedule Delivery Date]])</f>
        <v>2026</v>
      </c>
      <c r="K209" s="7">
        <v>12</v>
      </c>
      <c r="L209" s="9">
        <v>46026</v>
      </c>
      <c r="M209" s="9">
        <v>46026</v>
      </c>
    </row>
    <row r="210" spans="1:13" x14ac:dyDescent="0.25">
      <c r="A210" t="s">
        <v>9</v>
      </c>
      <c r="B210">
        <v>384</v>
      </c>
      <c r="C210" t="s">
        <v>14</v>
      </c>
      <c r="D210" s="3" t="s">
        <v>31</v>
      </c>
      <c r="E210" s="1">
        <v>38136</v>
      </c>
      <c r="F210">
        <v>1362</v>
      </c>
      <c r="G210" s="1">
        <v>3</v>
      </c>
      <c r="H210" s="1">
        <v>350</v>
      </c>
      <c r="I210" s="3" t="str">
        <f>TEXT(financials[[#This Row],[Schedule Delivery Date]],"mmmm")</f>
        <v>January</v>
      </c>
      <c r="J210">
        <f>YEAR(financials[[#This Row],[Schedule Delivery Date]])</f>
        <v>2026</v>
      </c>
      <c r="K210" s="7">
        <v>12</v>
      </c>
      <c r="L210" s="9">
        <v>46026</v>
      </c>
      <c r="M210" s="9">
        <v>46026</v>
      </c>
    </row>
    <row r="211" spans="1:13" x14ac:dyDescent="0.25">
      <c r="A211" t="s">
        <v>9</v>
      </c>
      <c r="B211">
        <v>385</v>
      </c>
      <c r="C211" t="s">
        <v>14</v>
      </c>
      <c r="D211" s="3" t="s">
        <v>33</v>
      </c>
      <c r="E211" s="1">
        <v>38136</v>
      </c>
      <c r="F211">
        <v>1362</v>
      </c>
      <c r="G211" s="1">
        <v>10</v>
      </c>
      <c r="H211" s="1">
        <v>350</v>
      </c>
      <c r="I211" s="3" t="str">
        <f>TEXT(financials[[#This Row],[Schedule Delivery Date]],"mmmm")</f>
        <v>January</v>
      </c>
      <c r="J211">
        <f>YEAR(financials[[#This Row],[Schedule Delivery Date]])</f>
        <v>2026</v>
      </c>
      <c r="K211" s="7">
        <v>12</v>
      </c>
      <c r="L211" s="9">
        <v>46026</v>
      </c>
      <c r="M211" s="9">
        <v>46026</v>
      </c>
    </row>
    <row r="212" spans="1:13" x14ac:dyDescent="0.25">
      <c r="A212" t="s">
        <v>9</v>
      </c>
      <c r="B212">
        <v>386</v>
      </c>
      <c r="C212" t="s">
        <v>11</v>
      </c>
      <c r="D212" s="3" t="s">
        <v>33</v>
      </c>
      <c r="E212" s="1">
        <v>0</v>
      </c>
      <c r="F212">
        <v>292</v>
      </c>
      <c r="G212" s="1">
        <v>10</v>
      </c>
      <c r="H212" s="1">
        <v>20</v>
      </c>
      <c r="I212" s="3" t="str">
        <f>TEXT(financials[[#This Row],[Schedule Delivery Date]],"mmmm")</f>
        <v>January</v>
      </c>
      <c r="J212">
        <f>YEAR(financials[[#This Row],[Schedule Delivery Date]])</f>
        <v>2026</v>
      </c>
      <c r="K212" s="7">
        <v>2</v>
      </c>
      <c r="L212" s="9">
        <v>46026</v>
      </c>
      <c r="M212" s="9">
        <v>46026</v>
      </c>
    </row>
    <row r="213" spans="1:13" x14ac:dyDescent="0.25">
      <c r="A213" t="s">
        <v>7</v>
      </c>
      <c r="B213">
        <v>387</v>
      </c>
      <c r="C213" t="s">
        <v>14</v>
      </c>
      <c r="D213" s="3" t="s">
        <v>33</v>
      </c>
      <c r="E213" s="1">
        <v>0</v>
      </c>
      <c r="F213">
        <v>974</v>
      </c>
      <c r="G213" s="1">
        <v>10</v>
      </c>
      <c r="H213" s="1">
        <v>15</v>
      </c>
      <c r="I213" s="3" t="str">
        <f>TEXT(financials[[#This Row],[Schedule Delivery Date]],"mmmm")</f>
        <v>January</v>
      </c>
      <c r="J213">
        <f>YEAR(financials[[#This Row],[Schedule Delivery Date]])</f>
        <v>2026</v>
      </c>
      <c r="K213" s="7">
        <v>2</v>
      </c>
      <c r="L213" s="9">
        <v>46026</v>
      </c>
      <c r="M213" s="9">
        <v>46025</v>
      </c>
    </row>
    <row r="214" spans="1:13" x14ac:dyDescent="0.25">
      <c r="A214" t="s">
        <v>8</v>
      </c>
      <c r="B214">
        <v>388</v>
      </c>
      <c r="C214" t="s">
        <v>12</v>
      </c>
      <c r="D214" s="3" t="s">
        <v>34</v>
      </c>
      <c r="E214" s="1">
        <v>0</v>
      </c>
      <c r="F214">
        <v>1804</v>
      </c>
      <c r="G214" s="1">
        <v>120</v>
      </c>
      <c r="H214" s="1">
        <v>125</v>
      </c>
      <c r="I214" s="3" t="str">
        <f>TEXT(financials[[#This Row],[Schedule Delivery Date]],"mmmm")</f>
        <v>January</v>
      </c>
      <c r="J214">
        <f>YEAR(financials[[#This Row],[Schedule Delivery Date]])</f>
        <v>2026</v>
      </c>
      <c r="K214" s="7">
        <v>2</v>
      </c>
      <c r="L214" s="9">
        <v>46026</v>
      </c>
      <c r="M214" s="9">
        <v>46025</v>
      </c>
    </row>
    <row r="215" spans="1:13" x14ac:dyDescent="0.25">
      <c r="A215" t="s">
        <v>6</v>
      </c>
      <c r="B215">
        <v>389</v>
      </c>
      <c r="C215" t="s">
        <v>11</v>
      </c>
      <c r="D215" s="3" t="s">
        <v>35</v>
      </c>
      <c r="E215" s="1">
        <v>0</v>
      </c>
      <c r="F215">
        <v>2001</v>
      </c>
      <c r="G215" s="1">
        <v>250</v>
      </c>
      <c r="H215" s="1">
        <v>300</v>
      </c>
      <c r="I215" s="3" t="str">
        <f>TEXT(financials[[#This Row],[Schedule Delivery Date]],"mmmm")</f>
        <v>January</v>
      </c>
      <c r="J215">
        <f>YEAR(financials[[#This Row],[Schedule Delivery Date]])</f>
        <v>2026</v>
      </c>
      <c r="K215" s="7">
        <v>2</v>
      </c>
      <c r="L215" s="9">
        <v>46026</v>
      </c>
      <c r="M215" s="9">
        <v>46026</v>
      </c>
    </row>
    <row r="216" spans="1:13" x14ac:dyDescent="0.25">
      <c r="A216" t="s">
        <v>9</v>
      </c>
      <c r="B216">
        <v>390</v>
      </c>
      <c r="C216" t="s">
        <v>12</v>
      </c>
      <c r="D216" s="3" t="s">
        <v>36</v>
      </c>
      <c r="E216" s="1">
        <v>0</v>
      </c>
      <c r="F216">
        <v>2750</v>
      </c>
      <c r="G216" s="1">
        <v>260</v>
      </c>
      <c r="H216" s="1">
        <v>350</v>
      </c>
      <c r="I216" s="3" t="str">
        <f>TEXT(financials[[#This Row],[Schedule Delivery Date]],"mmmm")</f>
        <v>January</v>
      </c>
      <c r="J216">
        <f>YEAR(financials[[#This Row],[Schedule Delivery Date]])</f>
        <v>2026</v>
      </c>
      <c r="K216" s="7">
        <v>2</v>
      </c>
      <c r="L216" s="9">
        <v>46026</v>
      </c>
      <c r="M216" s="9">
        <v>46026</v>
      </c>
    </row>
    <row r="217" spans="1:13" x14ac:dyDescent="0.25">
      <c r="A217" t="s">
        <v>10</v>
      </c>
      <c r="B217">
        <v>391</v>
      </c>
      <c r="C217" t="s">
        <v>55</v>
      </c>
      <c r="D217" s="3" t="s">
        <v>31</v>
      </c>
      <c r="E217" s="1">
        <v>222.96</v>
      </c>
      <c r="F217">
        <v>1858</v>
      </c>
      <c r="G217" s="1">
        <v>3</v>
      </c>
      <c r="H217" s="1">
        <v>12</v>
      </c>
      <c r="I217" s="3" t="str">
        <f>TEXT(financials[[#This Row],[Schedule Delivery Date]],"mmmm")</f>
        <v>January</v>
      </c>
      <c r="J217">
        <f>YEAR(financials[[#This Row],[Schedule Delivery Date]])</f>
        <v>2026</v>
      </c>
      <c r="K217" s="7">
        <v>2</v>
      </c>
      <c r="L217" s="9">
        <v>46026</v>
      </c>
      <c r="M217" s="9">
        <v>46025</v>
      </c>
    </row>
    <row r="218" spans="1:13" x14ac:dyDescent="0.25">
      <c r="A218" t="s">
        <v>7</v>
      </c>
      <c r="B218">
        <v>392</v>
      </c>
      <c r="C218" t="s">
        <v>55</v>
      </c>
      <c r="D218" s="3" t="s">
        <v>33</v>
      </c>
      <c r="E218" s="1">
        <v>227.1</v>
      </c>
      <c r="F218">
        <v>1514</v>
      </c>
      <c r="G218" s="1">
        <v>10</v>
      </c>
      <c r="H218" s="1">
        <v>15</v>
      </c>
      <c r="I218" s="3" t="str">
        <f>TEXT(financials[[#This Row],[Schedule Delivery Date]],"mmmm")</f>
        <v>January</v>
      </c>
      <c r="J218">
        <f>YEAR(financials[[#This Row],[Schedule Delivery Date]])</f>
        <v>2026</v>
      </c>
      <c r="K218" s="7">
        <v>2</v>
      </c>
      <c r="L218" s="9">
        <v>46026</v>
      </c>
      <c r="M218" s="9">
        <v>46026</v>
      </c>
    </row>
    <row r="219" spans="1:13" x14ac:dyDescent="0.25">
      <c r="A219" t="s">
        <v>9</v>
      </c>
      <c r="B219">
        <v>393</v>
      </c>
      <c r="C219" t="s">
        <v>11</v>
      </c>
      <c r="D219" s="3" t="s">
        <v>32</v>
      </c>
      <c r="E219" s="1">
        <v>273.27999999999997</v>
      </c>
      <c r="F219">
        <v>488</v>
      </c>
      <c r="G219" s="1">
        <v>5</v>
      </c>
      <c r="H219" s="1">
        <v>7</v>
      </c>
      <c r="I219" s="3" t="str">
        <f>TEXT(financials[[#This Row],[Schedule Delivery Date]],"mmmm")</f>
        <v>January</v>
      </c>
      <c r="J219">
        <f>YEAR(financials[[#This Row],[Schedule Delivery Date]])</f>
        <v>2026</v>
      </c>
      <c r="K219" s="7">
        <v>2</v>
      </c>
      <c r="L219" s="9">
        <v>46026</v>
      </c>
      <c r="M219" s="9">
        <v>46026</v>
      </c>
    </row>
    <row r="220" spans="1:13" x14ac:dyDescent="0.25">
      <c r="A220" t="s">
        <v>9</v>
      </c>
      <c r="B220">
        <v>394</v>
      </c>
      <c r="C220" t="s">
        <v>12</v>
      </c>
      <c r="D220" s="3" t="s">
        <v>32</v>
      </c>
      <c r="E220" s="1">
        <v>287.14</v>
      </c>
      <c r="F220">
        <v>293</v>
      </c>
      <c r="G220" s="1">
        <v>5</v>
      </c>
      <c r="H220" s="1">
        <v>7</v>
      </c>
      <c r="I220" s="3" t="str">
        <f>TEXT(financials[[#This Row],[Schedule Delivery Date]],"mmmm")</f>
        <v>February</v>
      </c>
      <c r="J220">
        <f>YEAR(financials[[#This Row],[Schedule Delivery Date]])</f>
        <v>2026</v>
      </c>
      <c r="K220" s="7">
        <v>2</v>
      </c>
      <c r="L220" s="9">
        <v>46075</v>
      </c>
      <c r="M220" s="9">
        <v>46019</v>
      </c>
    </row>
    <row r="221" spans="1:13" x14ac:dyDescent="0.25">
      <c r="A221" t="s">
        <v>7</v>
      </c>
      <c r="B221">
        <v>395</v>
      </c>
      <c r="C221" t="s">
        <v>12</v>
      </c>
      <c r="D221" s="3" t="s">
        <v>33</v>
      </c>
      <c r="E221" s="1">
        <v>344.4</v>
      </c>
      <c r="F221">
        <v>2296</v>
      </c>
      <c r="G221" s="1">
        <v>10</v>
      </c>
      <c r="H221" s="1">
        <v>15</v>
      </c>
      <c r="I221" s="3" t="str">
        <f>TEXT(financials[[#This Row],[Schedule Delivery Date]],"mmmm")</f>
        <v>January</v>
      </c>
      <c r="J221">
        <f>YEAR(financials[[#This Row],[Schedule Delivery Date]])</f>
        <v>2026</v>
      </c>
      <c r="K221" s="7">
        <v>2</v>
      </c>
      <c r="L221" s="9">
        <v>46026</v>
      </c>
      <c r="M221" s="9">
        <v>46026</v>
      </c>
    </row>
    <row r="222" spans="1:13" x14ac:dyDescent="0.25">
      <c r="A222" t="s">
        <v>9</v>
      </c>
      <c r="B222">
        <v>396</v>
      </c>
      <c r="C222" t="s">
        <v>13</v>
      </c>
      <c r="D222" s="3" t="s">
        <v>32</v>
      </c>
      <c r="E222" s="1">
        <v>411.18</v>
      </c>
      <c r="F222">
        <v>1958</v>
      </c>
      <c r="G222" s="1">
        <v>5</v>
      </c>
      <c r="H222" s="1">
        <v>7</v>
      </c>
      <c r="I222" s="3" t="str">
        <f>TEXT(financials[[#This Row],[Schedule Delivery Date]],"mmmm")</f>
        <v>January</v>
      </c>
      <c r="J222">
        <f>YEAR(financials[[#This Row],[Schedule Delivery Date]])</f>
        <v>2026</v>
      </c>
      <c r="K222" s="7">
        <v>2</v>
      </c>
      <c r="L222" s="9">
        <v>46026</v>
      </c>
      <c r="M222" s="9">
        <v>46026</v>
      </c>
    </row>
    <row r="223" spans="1:13" x14ac:dyDescent="0.25">
      <c r="A223" t="s">
        <v>7</v>
      </c>
      <c r="B223">
        <v>397</v>
      </c>
      <c r="C223" t="s">
        <v>13</v>
      </c>
      <c r="D223" s="3" t="s">
        <v>33</v>
      </c>
      <c r="E223" s="1">
        <v>583.79999999999995</v>
      </c>
      <c r="F223">
        <v>278</v>
      </c>
      <c r="G223" s="1">
        <v>10</v>
      </c>
      <c r="H223" s="1">
        <v>15</v>
      </c>
      <c r="I223" s="3" t="str">
        <f>TEXT(financials[[#This Row],[Schedule Delivery Date]],"mmmm")</f>
        <v>January</v>
      </c>
      <c r="J223">
        <f>YEAR(financials[[#This Row],[Schedule Delivery Date]])</f>
        <v>2026</v>
      </c>
      <c r="K223" s="7">
        <v>2</v>
      </c>
      <c r="L223" s="9">
        <v>46026</v>
      </c>
      <c r="M223" s="9">
        <v>46026</v>
      </c>
    </row>
    <row r="224" spans="1:13" x14ac:dyDescent="0.25">
      <c r="A224" t="s">
        <v>10</v>
      </c>
      <c r="B224">
        <v>398</v>
      </c>
      <c r="C224" t="s">
        <v>14</v>
      </c>
      <c r="D224" s="3" t="s">
        <v>31</v>
      </c>
      <c r="E224" s="1">
        <v>610.67999999999995</v>
      </c>
      <c r="F224">
        <v>727</v>
      </c>
      <c r="G224" s="1">
        <v>3</v>
      </c>
      <c r="H224" s="1">
        <v>12</v>
      </c>
      <c r="I224" s="3" t="str">
        <f>TEXT(financials[[#This Row],[Schedule Delivery Date]],"mmmm")</f>
        <v>January</v>
      </c>
      <c r="J224">
        <f>YEAR(financials[[#This Row],[Schedule Delivery Date]])</f>
        <v>2026</v>
      </c>
      <c r="K224" s="7">
        <v>2</v>
      </c>
      <c r="L224" s="9">
        <v>46032</v>
      </c>
      <c r="M224" s="9">
        <v>46029</v>
      </c>
    </row>
    <row r="225" spans="1:13" x14ac:dyDescent="0.25">
      <c r="A225" t="s">
        <v>10</v>
      </c>
      <c r="B225">
        <v>399</v>
      </c>
      <c r="C225" t="s">
        <v>13</v>
      </c>
      <c r="D225" s="3" t="s">
        <v>31</v>
      </c>
      <c r="E225" s="1">
        <v>669.6</v>
      </c>
      <c r="F225">
        <v>1116</v>
      </c>
      <c r="G225" s="1">
        <v>3</v>
      </c>
      <c r="H225" s="1">
        <v>12</v>
      </c>
      <c r="I225" s="3" t="str">
        <f>TEXT(financials[[#This Row],[Schedule Delivery Date]],"mmmm")</f>
        <v>January</v>
      </c>
      <c r="J225">
        <f>YEAR(financials[[#This Row],[Schedule Delivery Date]])</f>
        <v>2026</v>
      </c>
      <c r="K225" s="7">
        <v>2</v>
      </c>
      <c r="L225" s="9">
        <v>46026</v>
      </c>
      <c r="M225" s="9">
        <v>46028</v>
      </c>
    </row>
    <row r="226" spans="1:13" x14ac:dyDescent="0.25">
      <c r="A226" t="s">
        <v>7</v>
      </c>
      <c r="B226">
        <v>400</v>
      </c>
      <c r="C226" t="s">
        <v>11</v>
      </c>
      <c r="D226" s="3" t="s">
        <v>33</v>
      </c>
      <c r="E226" s="1">
        <v>708.9</v>
      </c>
      <c r="F226">
        <v>2363</v>
      </c>
      <c r="G226" s="1">
        <v>10</v>
      </c>
      <c r="H226" s="1">
        <v>15</v>
      </c>
      <c r="I226" s="3" t="str">
        <f>TEXT(financials[[#This Row],[Schedule Delivery Date]],"mmmm")</f>
        <v>January</v>
      </c>
      <c r="J226">
        <f>YEAR(financials[[#This Row],[Schedule Delivery Date]])</f>
        <v>2026</v>
      </c>
      <c r="K226" s="7">
        <v>2</v>
      </c>
      <c r="L226" s="9">
        <v>46026</v>
      </c>
      <c r="M226" s="9">
        <v>46026</v>
      </c>
    </row>
    <row r="227" spans="1:13" x14ac:dyDescent="0.25">
      <c r="A227" t="s">
        <v>9</v>
      </c>
      <c r="B227">
        <v>401</v>
      </c>
      <c r="C227" t="s">
        <v>14</v>
      </c>
      <c r="D227" s="3" t="s">
        <v>33</v>
      </c>
      <c r="E227" s="1">
        <v>728</v>
      </c>
      <c r="F227">
        <v>260</v>
      </c>
      <c r="G227" s="1">
        <v>10</v>
      </c>
      <c r="H227" s="1">
        <v>20</v>
      </c>
      <c r="I227" s="3" t="str">
        <f>TEXT(financials[[#This Row],[Schedule Delivery Date]],"mmmm")</f>
        <v>January</v>
      </c>
      <c r="J227">
        <f>YEAR(financials[[#This Row],[Schedule Delivery Date]])</f>
        <v>2026</v>
      </c>
      <c r="K227" s="7">
        <v>2</v>
      </c>
      <c r="L227" s="9">
        <v>46026</v>
      </c>
      <c r="M227" s="9">
        <v>46026</v>
      </c>
    </row>
    <row r="228" spans="1:13" x14ac:dyDescent="0.25">
      <c r="A228" t="s">
        <v>10</v>
      </c>
      <c r="B228">
        <v>402</v>
      </c>
      <c r="C228" t="s">
        <v>12</v>
      </c>
      <c r="D228" s="3" t="s">
        <v>31</v>
      </c>
      <c r="E228" s="1">
        <v>1119</v>
      </c>
      <c r="F228">
        <v>1865</v>
      </c>
      <c r="G228" s="1">
        <v>3</v>
      </c>
      <c r="H228" s="1">
        <v>12</v>
      </c>
      <c r="I228" s="3" t="str">
        <f>TEXT(financials[[#This Row],[Schedule Delivery Date]],"mmmm")</f>
        <v>January</v>
      </c>
      <c r="J228">
        <f>YEAR(financials[[#This Row],[Schedule Delivery Date]])</f>
        <v>2026</v>
      </c>
      <c r="K228" s="7">
        <v>2</v>
      </c>
      <c r="L228" s="9">
        <v>46026</v>
      </c>
      <c r="M228" s="9">
        <v>46026</v>
      </c>
    </row>
    <row r="229" spans="1:13" x14ac:dyDescent="0.25">
      <c r="A229" t="s">
        <v>9</v>
      </c>
      <c r="B229">
        <v>403</v>
      </c>
      <c r="C229" t="s">
        <v>55</v>
      </c>
      <c r="D229" s="3" t="s">
        <v>32</v>
      </c>
      <c r="E229" s="1">
        <v>1181.18</v>
      </c>
      <c r="F229">
        <v>1298</v>
      </c>
      <c r="G229" s="1">
        <v>5</v>
      </c>
      <c r="H229" s="1">
        <v>7</v>
      </c>
      <c r="I229" s="3" t="str">
        <f>TEXT(financials[[#This Row],[Schedule Delivery Date]],"mmmm")</f>
        <v>January</v>
      </c>
      <c r="J229">
        <f>YEAR(financials[[#This Row],[Schedule Delivery Date]])</f>
        <v>2026</v>
      </c>
      <c r="K229" s="7">
        <v>2</v>
      </c>
      <c r="L229" s="9">
        <v>46026</v>
      </c>
      <c r="M229" s="9">
        <v>46026</v>
      </c>
    </row>
    <row r="230" spans="1:13" x14ac:dyDescent="0.25">
      <c r="A230" t="s">
        <v>9</v>
      </c>
      <c r="B230">
        <v>404</v>
      </c>
      <c r="C230" t="s">
        <v>12</v>
      </c>
      <c r="D230" s="3" t="s">
        <v>33</v>
      </c>
      <c r="E230" s="1">
        <v>1303</v>
      </c>
      <c r="F230">
        <v>1303</v>
      </c>
      <c r="G230" s="1">
        <v>10</v>
      </c>
      <c r="H230" s="1">
        <v>20</v>
      </c>
      <c r="I230" s="3" t="str">
        <f>TEXT(financials[[#This Row],[Schedule Delivery Date]],"mmmm")</f>
        <v>January</v>
      </c>
      <c r="J230">
        <f>YEAR(financials[[#This Row],[Schedule Delivery Date]])</f>
        <v>2026</v>
      </c>
      <c r="K230" s="7">
        <v>2</v>
      </c>
      <c r="L230" s="9">
        <v>46036</v>
      </c>
      <c r="M230" s="9">
        <v>46036</v>
      </c>
    </row>
    <row r="231" spans="1:13" x14ac:dyDescent="0.25">
      <c r="A231" t="s">
        <v>9</v>
      </c>
      <c r="B231">
        <v>405</v>
      </c>
      <c r="C231" t="s">
        <v>14</v>
      </c>
      <c r="D231" s="3" t="s">
        <v>32</v>
      </c>
      <c r="E231" s="1">
        <v>1436.4</v>
      </c>
      <c r="F231">
        <v>1368</v>
      </c>
      <c r="G231" s="1">
        <v>5</v>
      </c>
      <c r="H231" s="1">
        <v>7</v>
      </c>
      <c r="I231" s="3" t="str">
        <f>TEXT(financials[[#This Row],[Schedule Delivery Date]],"mmmm")</f>
        <v>January</v>
      </c>
      <c r="J231">
        <f>YEAR(financials[[#This Row],[Schedule Delivery Date]])</f>
        <v>2026</v>
      </c>
      <c r="K231" s="7">
        <v>2</v>
      </c>
      <c r="L231" s="9">
        <v>46026</v>
      </c>
      <c r="M231" s="9">
        <v>46025</v>
      </c>
    </row>
    <row r="232" spans="1:13" x14ac:dyDescent="0.25">
      <c r="A232" t="s">
        <v>10</v>
      </c>
      <c r="B232">
        <v>406</v>
      </c>
      <c r="C232" t="s">
        <v>11</v>
      </c>
      <c r="D232" s="3" t="s">
        <v>31</v>
      </c>
      <c r="E232" s="1">
        <v>2556.84</v>
      </c>
      <c r="F232">
        <v>1937</v>
      </c>
      <c r="G232" s="1">
        <v>3</v>
      </c>
      <c r="H232" s="1">
        <v>12</v>
      </c>
      <c r="I232" s="3" t="str">
        <f>TEXT(financials[[#This Row],[Schedule Delivery Date]],"mmmm")</f>
        <v>January</v>
      </c>
      <c r="J232">
        <f>YEAR(financials[[#This Row],[Schedule Delivery Date]])</f>
        <v>2026</v>
      </c>
      <c r="K232" s="7">
        <v>2</v>
      </c>
      <c r="L232" s="9">
        <v>46026</v>
      </c>
      <c r="M232" s="9">
        <v>46024</v>
      </c>
    </row>
    <row r="233" spans="1:13" x14ac:dyDescent="0.25">
      <c r="A233" t="s">
        <v>8</v>
      </c>
      <c r="B233">
        <v>407</v>
      </c>
      <c r="C233" t="s">
        <v>13</v>
      </c>
      <c r="D233" s="3" t="s">
        <v>34</v>
      </c>
      <c r="E233" s="1">
        <v>5043.75</v>
      </c>
      <c r="F233">
        <v>807</v>
      </c>
      <c r="G233" s="1">
        <v>120</v>
      </c>
      <c r="H233" s="1">
        <v>125</v>
      </c>
      <c r="I233" s="3" t="str">
        <f>TEXT(financials[[#This Row],[Schedule Delivery Date]],"mmmm")</f>
        <v>January</v>
      </c>
      <c r="J233">
        <f>YEAR(financials[[#This Row],[Schedule Delivery Date]])</f>
        <v>2026</v>
      </c>
      <c r="K233" s="7">
        <v>2</v>
      </c>
      <c r="L233" s="9">
        <v>46026</v>
      </c>
      <c r="M233" s="9">
        <v>46026</v>
      </c>
    </row>
    <row r="234" spans="1:13" x14ac:dyDescent="0.25">
      <c r="A234" t="s">
        <v>9</v>
      </c>
      <c r="B234">
        <v>408</v>
      </c>
      <c r="C234" t="s">
        <v>55</v>
      </c>
      <c r="D234" s="3" t="s">
        <v>33</v>
      </c>
      <c r="E234" s="1">
        <v>6866.6</v>
      </c>
      <c r="F234">
        <v>2641</v>
      </c>
      <c r="G234" s="1">
        <v>10</v>
      </c>
      <c r="H234" s="1">
        <v>20</v>
      </c>
      <c r="I234" s="3" t="str">
        <f>TEXT(financials[[#This Row],[Schedule Delivery Date]],"mmmm")</f>
        <v>January</v>
      </c>
      <c r="J234">
        <f>YEAR(financials[[#This Row],[Schedule Delivery Date]])</f>
        <v>2026</v>
      </c>
      <c r="K234" s="7">
        <v>2</v>
      </c>
      <c r="L234" s="9">
        <v>46026</v>
      </c>
      <c r="M234" s="9">
        <v>46026</v>
      </c>
    </row>
    <row r="235" spans="1:13" x14ac:dyDescent="0.25">
      <c r="A235" t="s">
        <v>9</v>
      </c>
      <c r="B235">
        <v>409</v>
      </c>
      <c r="C235" t="s">
        <v>13</v>
      </c>
      <c r="D235" s="3" t="s">
        <v>33</v>
      </c>
      <c r="E235" s="1">
        <v>7040.8</v>
      </c>
      <c r="F235">
        <v>2708</v>
      </c>
      <c r="G235" s="1">
        <v>10</v>
      </c>
      <c r="H235" s="1">
        <v>20</v>
      </c>
      <c r="I235" s="3" t="str">
        <f>TEXT(financials[[#This Row],[Schedule Delivery Date]],"mmmm")</f>
        <v>January</v>
      </c>
      <c r="J235">
        <f>YEAR(financials[[#This Row],[Schedule Delivery Date]])</f>
        <v>2026</v>
      </c>
      <c r="K235" s="7">
        <v>2</v>
      </c>
      <c r="L235" s="9">
        <v>46026</v>
      </c>
      <c r="M235" s="9">
        <v>46026</v>
      </c>
    </row>
    <row r="236" spans="1:13" x14ac:dyDescent="0.25">
      <c r="A236" t="s">
        <v>8</v>
      </c>
      <c r="B236">
        <v>410</v>
      </c>
      <c r="C236" t="s">
        <v>11</v>
      </c>
      <c r="D236" s="3" t="s">
        <v>34</v>
      </c>
      <c r="E236" s="1">
        <v>7140</v>
      </c>
      <c r="F236">
        <v>952</v>
      </c>
      <c r="G236" s="1">
        <v>120</v>
      </c>
      <c r="H236" s="1">
        <v>125</v>
      </c>
      <c r="I236" s="3" t="str">
        <f>TEXT(financials[[#This Row],[Schedule Delivery Date]],"mmmm")</f>
        <v>January</v>
      </c>
      <c r="J236">
        <f>YEAR(financials[[#This Row],[Schedule Delivery Date]])</f>
        <v>2026</v>
      </c>
      <c r="K236" s="7">
        <v>2</v>
      </c>
      <c r="L236" s="9">
        <v>46026</v>
      </c>
      <c r="M236" s="9">
        <v>46026</v>
      </c>
    </row>
    <row r="237" spans="1:13" x14ac:dyDescent="0.25">
      <c r="A237" t="s">
        <v>9</v>
      </c>
      <c r="B237">
        <v>411</v>
      </c>
      <c r="C237" t="s">
        <v>55</v>
      </c>
      <c r="D237" s="3" t="s">
        <v>36</v>
      </c>
      <c r="E237" s="1">
        <v>11340</v>
      </c>
      <c r="F237">
        <v>270</v>
      </c>
      <c r="G237" s="1">
        <v>260</v>
      </c>
      <c r="H237" s="1">
        <v>350</v>
      </c>
      <c r="I237" s="3" t="str">
        <f>TEXT(financials[[#This Row],[Schedule Delivery Date]],"mmmm")</f>
        <v>January</v>
      </c>
      <c r="J237">
        <f>YEAR(financials[[#This Row],[Schedule Delivery Date]])</f>
        <v>2026</v>
      </c>
      <c r="K237" s="7">
        <v>2</v>
      </c>
      <c r="L237" s="9">
        <v>46026</v>
      </c>
      <c r="M237" s="9">
        <v>46026</v>
      </c>
    </row>
    <row r="238" spans="1:13" x14ac:dyDescent="0.25">
      <c r="A238" t="s">
        <v>6</v>
      </c>
      <c r="B238">
        <v>412</v>
      </c>
      <c r="C238" t="s">
        <v>12</v>
      </c>
      <c r="D238" s="3" t="s">
        <v>35</v>
      </c>
      <c r="E238" s="1">
        <v>20139</v>
      </c>
      <c r="F238">
        <v>959</v>
      </c>
      <c r="G238" s="1">
        <v>250</v>
      </c>
      <c r="H238" s="1">
        <v>300</v>
      </c>
      <c r="I238" s="3" t="str">
        <f>TEXT(financials[[#This Row],[Schedule Delivery Date]],"mmmm")</f>
        <v>January</v>
      </c>
      <c r="J238">
        <f>YEAR(financials[[#This Row],[Schedule Delivery Date]])</f>
        <v>2026</v>
      </c>
      <c r="K238" s="7">
        <v>2</v>
      </c>
      <c r="L238" s="9">
        <v>46026</v>
      </c>
      <c r="M238" s="9">
        <v>46025</v>
      </c>
    </row>
    <row r="239" spans="1:13" x14ac:dyDescent="0.25">
      <c r="A239" t="s">
        <v>8</v>
      </c>
      <c r="B239">
        <v>413</v>
      </c>
      <c r="C239" t="s">
        <v>55</v>
      </c>
      <c r="D239" s="3" t="s">
        <v>34</v>
      </c>
      <c r="E239" s="1">
        <v>20662.5</v>
      </c>
      <c r="F239">
        <v>2755</v>
      </c>
      <c r="G239" s="1">
        <v>120</v>
      </c>
      <c r="H239" s="1">
        <v>125</v>
      </c>
      <c r="I239" s="3" t="str">
        <f>TEXT(financials[[#This Row],[Schedule Delivery Date]],"mmmm")</f>
        <v>January</v>
      </c>
      <c r="J239">
        <f>YEAR(financials[[#This Row],[Schedule Delivery Date]])</f>
        <v>2026</v>
      </c>
      <c r="K239" s="7">
        <v>2</v>
      </c>
      <c r="L239" s="9">
        <v>46026</v>
      </c>
      <c r="M239" s="9">
        <v>46026</v>
      </c>
    </row>
    <row r="240" spans="1:13" x14ac:dyDescent="0.25">
      <c r="A240" t="s">
        <v>9</v>
      </c>
      <c r="B240">
        <v>414</v>
      </c>
      <c r="C240" t="s">
        <v>13</v>
      </c>
      <c r="D240" s="3" t="s">
        <v>36</v>
      </c>
      <c r="E240" s="1">
        <v>23625</v>
      </c>
      <c r="F240">
        <v>1350</v>
      </c>
      <c r="G240" s="1">
        <v>260</v>
      </c>
      <c r="H240" s="1">
        <v>350</v>
      </c>
      <c r="I240" s="3" t="str">
        <f>TEXT(financials[[#This Row],[Schedule Delivery Date]],"mmmm")</f>
        <v>January</v>
      </c>
      <c r="J240">
        <f>YEAR(financials[[#This Row],[Schedule Delivery Date]])</f>
        <v>2026</v>
      </c>
      <c r="K240" s="7">
        <v>2</v>
      </c>
      <c r="L240" s="9">
        <v>46026</v>
      </c>
      <c r="M240" s="9">
        <v>46026</v>
      </c>
    </row>
    <row r="241" spans="1:13" x14ac:dyDescent="0.25">
      <c r="A241" t="s">
        <v>6</v>
      </c>
      <c r="B241">
        <v>415</v>
      </c>
      <c r="C241" t="s">
        <v>55</v>
      </c>
      <c r="D241" s="3" t="s">
        <v>35</v>
      </c>
      <c r="E241" s="1">
        <v>25596</v>
      </c>
      <c r="F241">
        <v>2844</v>
      </c>
      <c r="G241" s="1">
        <v>250</v>
      </c>
      <c r="H241" s="1">
        <v>300</v>
      </c>
      <c r="I241" s="3" t="str">
        <f>TEXT(financials[[#This Row],[Schedule Delivery Date]],"mmmm")</f>
        <v>January</v>
      </c>
      <c r="J241">
        <f>YEAR(financials[[#This Row],[Schedule Delivery Date]])</f>
        <v>2026</v>
      </c>
      <c r="K241" s="7">
        <v>2</v>
      </c>
      <c r="L241" s="9">
        <v>46026</v>
      </c>
      <c r="M241" s="9">
        <v>46026</v>
      </c>
    </row>
    <row r="242" spans="1:13" x14ac:dyDescent="0.25">
      <c r="A242" t="s">
        <v>9</v>
      </c>
      <c r="B242">
        <v>416</v>
      </c>
      <c r="C242" t="s">
        <v>14</v>
      </c>
      <c r="D242" s="3" t="s">
        <v>36</v>
      </c>
      <c r="E242" s="1">
        <v>26110</v>
      </c>
      <c r="F242">
        <v>1865</v>
      </c>
      <c r="G242" s="1">
        <v>260</v>
      </c>
      <c r="H242" s="1">
        <v>350</v>
      </c>
      <c r="I242" s="3" t="str">
        <f>TEXT(financials[[#This Row],[Schedule Delivery Date]],"mmmm")</f>
        <v>January</v>
      </c>
      <c r="J242">
        <f>YEAR(financials[[#This Row],[Schedule Delivery Date]])</f>
        <v>2026</v>
      </c>
      <c r="K242" s="7">
        <v>2</v>
      </c>
      <c r="L242" s="9">
        <v>46026</v>
      </c>
      <c r="M242" s="9">
        <v>46026</v>
      </c>
    </row>
    <row r="243" spans="1:13" x14ac:dyDescent="0.25">
      <c r="A243" t="s">
        <v>8</v>
      </c>
      <c r="B243">
        <v>417</v>
      </c>
      <c r="C243" t="s">
        <v>14</v>
      </c>
      <c r="D243" s="3" t="s">
        <v>34</v>
      </c>
      <c r="E243" s="1">
        <v>27562.5</v>
      </c>
      <c r="F243">
        <v>1575</v>
      </c>
      <c r="G243" s="1">
        <v>120</v>
      </c>
      <c r="H243" s="1">
        <v>125</v>
      </c>
      <c r="I243" s="3" t="str">
        <f>TEXT(financials[[#This Row],[Schedule Delivery Date]],"mmmm")</f>
        <v>January</v>
      </c>
      <c r="J243">
        <f>YEAR(financials[[#This Row],[Schedule Delivery Date]])</f>
        <v>2026</v>
      </c>
      <c r="K243" s="7">
        <v>2</v>
      </c>
      <c r="L243" s="9">
        <v>46026</v>
      </c>
      <c r="M243" s="9">
        <v>46025</v>
      </c>
    </row>
    <row r="244" spans="1:13" x14ac:dyDescent="0.25">
      <c r="A244" t="s">
        <v>6</v>
      </c>
      <c r="B244">
        <v>418</v>
      </c>
      <c r="C244" t="s">
        <v>14</v>
      </c>
      <c r="D244" s="3" t="s">
        <v>35</v>
      </c>
      <c r="E244" s="1">
        <v>57687</v>
      </c>
      <c r="F244">
        <v>2747</v>
      </c>
      <c r="G244" s="1">
        <v>250</v>
      </c>
      <c r="H244" s="1">
        <v>300</v>
      </c>
      <c r="I244" s="3" t="str">
        <f>TEXT(financials[[#This Row],[Schedule Delivery Date]],"mmmm")</f>
        <v>January</v>
      </c>
      <c r="J244">
        <f>YEAR(financials[[#This Row],[Schedule Delivery Date]])</f>
        <v>2026</v>
      </c>
      <c r="K244" s="7">
        <v>2</v>
      </c>
      <c r="L244" s="9">
        <v>46026</v>
      </c>
      <c r="M244" s="9">
        <v>46025</v>
      </c>
    </row>
    <row r="245" spans="1:13" x14ac:dyDescent="0.25">
      <c r="A245" t="s">
        <v>6</v>
      </c>
      <c r="B245">
        <v>419</v>
      </c>
      <c r="C245" t="s">
        <v>13</v>
      </c>
      <c r="D245" s="3" t="s">
        <v>35</v>
      </c>
      <c r="E245" s="1">
        <v>71793</v>
      </c>
      <c r="F245">
        <v>2659</v>
      </c>
      <c r="G245" s="1">
        <v>250</v>
      </c>
      <c r="H245" s="1">
        <v>300</v>
      </c>
      <c r="I245" s="3" t="str">
        <f>TEXT(financials[[#This Row],[Schedule Delivery Date]],"mmmm")</f>
        <v>January</v>
      </c>
      <c r="J245">
        <f>YEAR(financials[[#This Row],[Schedule Delivery Date]])</f>
        <v>2026</v>
      </c>
      <c r="K245" s="7">
        <v>2</v>
      </c>
      <c r="L245" s="9">
        <v>46026</v>
      </c>
      <c r="M245" s="9">
        <v>46026</v>
      </c>
    </row>
    <row r="246" spans="1:13" x14ac:dyDescent="0.25">
      <c r="A246" t="s">
        <v>9</v>
      </c>
      <c r="B246">
        <v>420</v>
      </c>
      <c r="C246" t="s">
        <v>11</v>
      </c>
      <c r="D246" s="3" t="s">
        <v>36</v>
      </c>
      <c r="E246" s="1">
        <v>78400</v>
      </c>
      <c r="F246">
        <v>2240</v>
      </c>
      <c r="G246" s="1">
        <v>260</v>
      </c>
      <c r="H246" s="1">
        <v>350</v>
      </c>
      <c r="I246" s="3" t="str">
        <f>TEXT(financials[[#This Row],[Schedule Delivery Date]],"mmmm")</f>
        <v>January</v>
      </c>
      <c r="J246">
        <f>YEAR(financials[[#This Row],[Schedule Delivery Date]])</f>
        <v>2026</v>
      </c>
      <c r="K246" s="7">
        <v>2</v>
      </c>
      <c r="L246" s="9">
        <v>46026</v>
      </c>
      <c r="M246" s="9">
        <v>46026</v>
      </c>
    </row>
    <row r="247" spans="1:13" x14ac:dyDescent="0.25">
      <c r="A247" t="s">
        <v>7</v>
      </c>
      <c r="B247">
        <v>421</v>
      </c>
      <c r="C247" t="s">
        <v>13</v>
      </c>
      <c r="D247" s="3" t="s">
        <v>32</v>
      </c>
      <c r="E247" s="1">
        <v>0</v>
      </c>
      <c r="F247">
        <v>921</v>
      </c>
      <c r="G247" s="1">
        <v>5</v>
      </c>
      <c r="H247" s="1">
        <v>15</v>
      </c>
      <c r="I247" s="3" t="str">
        <f>TEXT(financials[[#This Row],[Schedule Delivery Date]],"mmmm")</f>
        <v>January</v>
      </c>
      <c r="J247">
        <f>YEAR(financials[[#This Row],[Schedule Delivery Date]])</f>
        <v>2026</v>
      </c>
      <c r="K247" s="7">
        <v>3</v>
      </c>
      <c r="L247" s="9">
        <v>46026</v>
      </c>
      <c r="M247" s="9">
        <v>46026</v>
      </c>
    </row>
    <row r="248" spans="1:13" x14ac:dyDescent="0.25">
      <c r="A248" t="s">
        <v>10</v>
      </c>
      <c r="B248">
        <v>422</v>
      </c>
      <c r="C248" t="s">
        <v>13</v>
      </c>
      <c r="D248" s="3" t="s">
        <v>34</v>
      </c>
      <c r="E248" s="1">
        <v>0</v>
      </c>
      <c r="F248">
        <v>2161</v>
      </c>
      <c r="G248" s="1">
        <v>120</v>
      </c>
      <c r="H248" s="1">
        <v>12</v>
      </c>
      <c r="I248" s="3" t="str">
        <f>TEXT(financials[[#This Row],[Schedule Delivery Date]],"mmmm")</f>
        <v>January</v>
      </c>
      <c r="J248">
        <f>YEAR(financials[[#This Row],[Schedule Delivery Date]])</f>
        <v>2026</v>
      </c>
      <c r="K248" s="7">
        <v>3</v>
      </c>
      <c r="L248" s="9">
        <v>46026</v>
      </c>
      <c r="M248" s="9">
        <v>46025</v>
      </c>
    </row>
    <row r="249" spans="1:13" x14ac:dyDescent="0.25">
      <c r="A249" t="s">
        <v>9</v>
      </c>
      <c r="B249">
        <v>423</v>
      </c>
      <c r="C249" t="s">
        <v>13</v>
      </c>
      <c r="D249" s="3" t="s">
        <v>35</v>
      </c>
      <c r="E249" s="1">
        <v>18.41</v>
      </c>
      <c r="F249">
        <v>263</v>
      </c>
      <c r="G249" s="1">
        <v>250</v>
      </c>
      <c r="H249" s="1">
        <v>7</v>
      </c>
      <c r="I249" s="3" t="str">
        <f>TEXT(financials[[#This Row],[Schedule Delivery Date]],"mmmm")</f>
        <v>January</v>
      </c>
      <c r="J249">
        <f>YEAR(financials[[#This Row],[Schedule Delivery Date]])</f>
        <v>2026</v>
      </c>
      <c r="K249" s="7">
        <v>3</v>
      </c>
      <c r="L249" s="9">
        <v>46026</v>
      </c>
      <c r="M249" s="9">
        <v>46024</v>
      </c>
    </row>
    <row r="250" spans="1:13" x14ac:dyDescent="0.25">
      <c r="A250" t="s">
        <v>9</v>
      </c>
      <c r="B250">
        <v>424</v>
      </c>
      <c r="C250" t="s">
        <v>11</v>
      </c>
      <c r="D250" s="3" t="s">
        <v>35</v>
      </c>
      <c r="E250" s="1">
        <v>92.82</v>
      </c>
      <c r="F250">
        <v>1326</v>
      </c>
      <c r="G250" s="1">
        <v>250</v>
      </c>
      <c r="H250" s="1">
        <v>7</v>
      </c>
      <c r="I250" s="3" t="str">
        <f>TEXT(financials[[#This Row],[Schedule Delivery Date]],"mmmm")</f>
        <v>January</v>
      </c>
      <c r="J250">
        <f>YEAR(financials[[#This Row],[Schedule Delivery Date]])</f>
        <v>2026</v>
      </c>
      <c r="K250" s="7">
        <v>3</v>
      </c>
      <c r="L250" s="9">
        <v>46026</v>
      </c>
      <c r="M250" s="9">
        <v>46024</v>
      </c>
    </row>
    <row r="251" spans="1:13" x14ac:dyDescent="0.25">
      <c r="A251" t="s">
        <v>7</v>
      </c>
      <c r="B251">
        <v>425</v>
      </c>
      <c r="C251" t="s">
        <v>14</v>
      </c>
      <c r="D251" s="3" t="s">
        <v>32</v>
      </c>
      <c r="E251" s="1">
        <v>332.1</v>
      </c>
      <c r="F251">
        <v>2214</v>
      </c>
      <c r="G251" s="1">
        <v>5</v>
      </c>
      <c r="H251" s="1">
        <v>15</v>
      </c>
      <c r="I251" s="3" t="str">
        <f>TEXT(financials[[#This Row],[Schedule Delivery Date]],"mmmm")</f>
        <v>January</v>
      </c>
      <c r="J251">
        <f>YEAR(financials[[#This Row],[Schedule Delivery Date]])</f>
        <v>2026</v>
      </c>
      <c r="K251" s="7">
        <v>3</v>
      </c>
      <c r="L251" s="9">
        <v>46026</v>
      </c>
      <c r="M251" s="9">
        <v>46024</v>
      </c>
    </row>
    <row r="252" spans="1:13" x14ac:dyDescent="0.25">
      <c r="A252" t="s">
        <v>10</v>
      </c>
      <c r="B252">
        <v>426</v>
      </c>
      <c r="C252" t="s">
        <v>11</v>
      </c>
      <c r="D252" s="3" t="s">
        <v>34</v>
      </c>
      <c r="E252" s="1">
        <v>574.08000000000004</v>
      </c>
      <c r="F252">
        <v>598</v>
      </c>
      <c r="G252" s="1">
        <v>120</v>
      </c>
      <c r="H252" s="1">
        <v>12</v>
      </c>
      <c r="I252" s="3" t="str">
        <f>TEXT(financials[[#This Row],[Schedule Delivery Date]],"mmmm")</f>
        <v>January</v>
      </c>
      <c r="J252">
        <f>YEAR(financials[[#This Row],[Schedule Delivery Date]])</f>
        <v>2026</v>
      </c>
      <c r="K252" s="7">
        <v>3</v>
      </c>
      <c r="L252" s="9">
        <v>46026</v>
      </c>
      <c r="M252" s="9">
        <v>46024</v>
      </c>
    </row>
    <row r="253" spans="1:13" x14ac:dyDescent="0.25">
      <c r="A253" t="s">
        <v>10</v>
      </c>
      <c r="B253">
        <v>427</v>
      </c>
      <c r="C253" t="s">
        <v>55</v>
      </c>
      <c r="D253" s="3" t="s">
        <v>34</v>
      </c>
      <c r="E253" s="1">
        <v>703.2</v>
      </c>
      <c r="F253">
        <v>1465</v>
      </c>
      <c r="G253" s="1">
        <v>120</v>
      </c>
      <c r="H253" s="1">
        <v>12</v>
      </c>
      <c r="I253" s="3" t="str">
        <f>TEXT(financials[[#This Row],[Schedule Delivery Date]],"mmmm")</f>
        <v>January</v>
      </c>
      <c r="J253">
        <f>YEAR(financials[[#This Row],[Schedule Delivery Date]])</f>
        <v>2026</v>
      </c>
      <c r="K253" s="7">
        <v>3</v>
      </c>
      <c r="L253" s="9">
        <v>46026</v>
      </c>
      <c r="M253" s="9">
        <v>46024</v>
      </c>
    </row>
    <row r="254" spans="1:13" x14ac:dyDescent="0.25">
      <c r="A254" t="s">
        <v>10</v>
      </c>
      <c r="B254">
        <v>428</v>
      </c>
      <c r="C254" t="s">
        <v>14</v>
      </c>
      <c r="D254" s="3" t="s">
        <v>34</v>
      </c>
      <c r="E254" s="1">
        <v>900</v>
      </c>
      <c r="F254">
        <v>500</v>
      </c>
      <c r="G254" s="1">
        <v>120</v>
      </c>
      <c r="H254" s="1">
        <v>12</v>
      </c>
      <c r="I254" s="3" t="str">
        <f>TEXT(financials[[#This Row],[Schedule Delivery Date]],"mmmm")</f>
        <v>January</v>
      </c>
      <c r="J254">
        <f>YEAR(financials[[#This Row],[Schedule Delivery Date]])</f>
        <v>2026</v>
      </c>
      <c r="K254" s="7">
        <v>3</v>
      </c>
      <c r="L254" s="9">
        <v>46026</v>
      </c>
      <c r="M254" s="9">
        <v>46024</v>
      </c>
    </row>
    <row r="255" spans="1:13" x14ac:dyDescent="0.25">
      <c r="A255" t="s">
        <v>7</v>
      </c>
      <c r="B255">
        <v>429</v>
      </c>
      <c r="C255" t="s">
        <v>11</v>
      </c>
      <c r="D255" s="3" t="s">
        <v>32</v>
      </c>
      <c r="E255" s="1">
        <v>1180.2</v>
      </c>
      <c r="F255">
        <v>1967</v>
      </c>
      <c r="G255" s="1">
        <v>5</v>
      </c>
      <c r="H255" s="1">
        <v>15</v>
      </c>
      <c r="I255" s="3" t="str">
        <f>TEXT(financials[[#This Row],[Schedule Delivery Date]],"mmmm")</f>
        <v>January</v>
      </c>
      <c r="J255">
        <f>YEAR(financials[[#This Row],[Schedule Delivery Date]])</f>
        <v>2026</v>
      </c>
      <c r="K255" s="7">
        <v>3</v>
      </c>
      <c r="L255" s="9">
        <v>46026</v>
      </c>
      <c r="M255" s="9">
        <v>46025</v>
      </c>
    </row>
    <row r="256" spans="1:13" x14ac:dyDescent="0.25">
      <c r="A256" t="s">
        <v>9</v>
      </c>
      <c r="B256">
        <v>430</v>
      </c>
      <c r="C256" t="s">
        <v>55</v>
      </c>
      <c r="D256" s="3" t="s">
        <v>35</v>
      </c>
      <c r="E256" s="1">
        <v>1215.83</v>
      </c>
      <c r="F256">
        <v>1579</v>
      </c>
      <c r="G256" s="1">
        <v>250</v>
      </c>
      <c r="H256" s="1">
        <v>7</v>
      </c>
      <c r="I256" s="3" t="str">
        <f>TEXT(financials[[#This Row],[Schedule Delivery Date]],"mmmm")</f>
        <v>January</v>
      </c>
      <c r="J256">
        <f>YEAR(financials[[#This Row],[Schedule Delivery Date]])</f>
        <v>2026</v>
      </c>
      <c r="K256" s="7">
        <v>3</v>
      </c>
      <c r="L256" s="9">
        <v>46026</v>
      </c>
      <c r="M256" s="9">
        <v>46024</v>
      </c>
    </row>
    <row r="257" spans="1:13" x14ac:dyDescent="0.25">
      <c r="A257" t="s">
        <v>7</v>
      </c>
      <c r="B257">
        <v>431</v>
      </c>
      <c r="C257" t="s">
        <v>55</v>
      </c>
      <c r="D257" s="3" t="s">
        <v>32</v>
      </c>
      <c r="E257" s="1">
        <v>1218.5999999999999</v>
      </c>
      <c r="F257">
        <v>677</v>
      </c>
      <c r="G257" s="1">
        <v>5</v>
      </c>
      <c r="H257" s="1">
        <v>15</v>
      </c>
      <c r="I257" s="3" t="str">
        <f>TEXT(financials[[#This Row],[Schedule Delivery Date]],"mmmm")</f>
        <v>January</v>
      </c>
      <c r="J257">
        <f>YEAR(financials[[#This Row],[Schedule Delivery Date]])</f>
        <v>2026</v>
      </c>
      <c r="K257" s="7">
        <v>3</v>
      </c>
      <c r="L257" s="9">
        <v>46026</v>
      </c>
      <c r="M257" s="9">
        <v>46025</v>
      </c>
    </row>
    <row r="258" spans="1:13" x14ac:dyDescent="0.25">
      <c r="A258" t="s">
        <v>9</v>
      </c>
      <c r="B258">
        <v>432</v>
      </c>
      <c r="C258" t="s">
        <v>12</v>
      </c>
      <c r="D258" s="3" t="s">
        <v>35</v>
      </c>
      <c r="E258" s="1">
        <v>1252.44</v>
      </c>
      <c r="F258">
        <v>1491</v>
      </c>
      <c r="G258" s="1">
        <v>250</v>
      </c>
      <c r="H258" s="1">
        <v>7</v>
      </c>
      <c r="I258" s="3" t="str">
        <f>TEXT(financials[[#This Row],[Schedule Delivery Date]],"mmmm")</f>
        <v>January</v>
      </c>
      <c r="J258">
        <f>YEAR(financials[[#This Row],[Schedule Delivery Date]])</f>
        <v>2026</v>
      </c>
      <c r="K258" s="7">
        <v>3</v>
      </c>
      <c r="L258" s="9">
        <v>46026</v>
      </c>
      <c r="M258" s="9">
        <v>46026</v>
      </c>
    </row>
    <row r="259" spans="1:13" x14ac:dyDescent="0.25">
      <c r="A259" t="s">
        <v>6</v>
      </c>
      <c r="B259">
        <v>433</v>
      </c>
      <c r="C259" t="s">
        <v>13</v>
      </c>
      <c r="D259" s="3" t="s">
        <v>36</v>
      </c>
      <c r="E259" s="1">
        <v>1554</v>
      </c>
      <c r="F259">
        <v>259</v>
      </c>
      <c r="G259" s="1">
        <v>260</v>
      </c>
      <c r="H259" s="1">
        <v>300</v>
      </c>
      <c r="I259" s="3" t="str">
        <f>TEXT(financials[[#This Row],[Schedule Delivery Date]],"mmmm")</f>
        <v>January</v>
      </c>
      <c r="J259">
        <f>YEAR(financials[[#This Row],[Schedule Delivery Date]])</f>
        <v>2026</v>
      </c>
      <c r="K259" s="7">
        <v>3</v>
      </c>
      <c r="L259" s="9">
        <v>46026</v>
      </c>
      <c r="M259" s="9">
        <v>46026</v>
      </c>
    </row>
    <row r="260" spans="1:13" x14ac:dyDescent="0.25">
      <c r="A260" t="s">
        <v>9</v>
      </c>
      <c r="B260">
        <v>434</v>
      </c>
      <c r="C260" t="s">
        <v>55</v>
      </c>
      <c r="D260" s="3" t="s">
        <v>33</v>
      </c>
      <c r="E260" s="1">
        <v>1751.4</v>
      </c>
      <c r="F260">
        <v>973</v>
      </c>
      <c r="G260" s="1">
        <v>10</v>
      </c>
      <c r="H260" s="1">
        <v>20</v>
      </c>
      <c r="I260" s="3" t="str">
        <f>TEXT(financials[[#This Row],[Schedule Delivery Date]],"mmmm")</f>
        <v>January</v>
      </c>
      <c r="J260">
        <f>YEAR(financials[[#This Row],[Schedule Delivery Date]])</f>
        <v>2026</v>
      </c>
      <c r="K260" s="7">
        <v>3</v>
      </c>
      <c r="L260" s="9">
        <v>46026</v>
      </c>
      <c r="M260" s="9">
        <v>46025</v>
      </c>
    </row>
    <row r="261" spans="1:13" x14ac:dyDescent="0.25">
      <c r="A261" t="s">
        <v>10</v>
      </c>
      <c r="B261">
        <v>435</v>
      </c>
      <c r="C261" t="s">
        <v>12</v>
      </c>
      <c r="D261" s="3" t="s">
        <v>34</v>
      </c>
      <c r="E261" s="1">
        <v>2124.36</v>
      </c>
      <c r="F261">
        <v>1967</v>
      </c>
      <c r="G261" s="1">
        <v>120</v>
      </c>
      <c r="H261" s="1">
        <v>12</v>
      </c>
      <c r="I261" s="3" t="str">
        <f>TEXT(financials[[#This Row],[Schedule Delivery Date]],"mmmm")</f>
        <v>January</v>
      </c>
      <c r="J261">
        <f>YEAR(financials[[#This Row],[Schedule Delivery Date]])</f>
        <v>2026</v>
      </c>
      <c r="K261" s="7">
        <v>3</v>
      </c>
      <c r="L261" s="9">
        <v>46026</v>
      </c>
      <c r="M261" s="9">
        <v>46025</v>
      </c>
    </row>
    <row r="262" spans="1:13" x14ac:dyDescent="0.25">
      <c r="A262" t="s">
        <v>9</v>
      </c>
      <c r="B262">
        <v>436</v>
      </c>
      <c r="C262" t="s">
        <v>14</v>
      </c>
      <c r="D262" s="3" t="s">
        <v>33</v>
      </c>
      <c r="E262" s="1">
        <v>2468.4</v>
      </c>
      <c r="F262">
        <v>1122</v>
      </c>
      <c r="G262" s="1">
        <v>10</v>
      </c>
      <c r="H262" s="1">
        <v>20</v>
      </c>
      <c r="I262" s="3" t="str">
        <f>TEXT(financials[[#This Row],[Schedule Delivery Date]],"mmmm")</f>
        <v>January</v>
      </c>
      <c r="J262">
        <f>YEAR(financials[[#This Row],[Schedule Delivery Date]])</f>
        <v>2026</v>
      </c>
      <c r="K262" s="7">
        <v>3</v>
      </c>
      <c r="L262" s="9">
        <v>46026</v>
      </c>
      <c r="M262" s="9">
        <v>46025</v>
      </c>
    </row>
    <row r="263" spans="1:13" x14ac:dyDescent="0.25">
      <c r="A263" t="s">
        <v>9</v>
      </c>
      <c r="B263">
        <v>437</v>
      </c>
      <c r="C263" t="s">
        <v>14</v>
      </c>
      <c r="D263" s="3" t="s">
        <v>35</v>
      </c>
      <c r="E263" s="1">
        <v>2844.94</v>
      </c>
      <c r="F263">
        <v>2903</v>
      </c>
      <c r="G263" s="1">
        <v>250</v>
      </c>
      <c r="H263" s="1">
        <v>7</v>
      </c>
      <c r="I263" s="3" t="str">
        <f>TEXT(financials[[#This Row],[Schedule Delivery Date]],"mmmm")</f>
        <v>January</v>
      </c>
      <c r="J263">
        <f>YEAR(financials[[#This Row],[Schedule Delivery Date]])</f>
        <v>2026</v>
      </c>
      <c r="K263" s="7">
        <v>3</v>
      </c>
      <c r="L263" s="9">
        <v>46026</v>
      </c>
      <c r="M263" s="9">
        <v>46026</v>
      </c>
    </row>
    <row r="264" spans="1:13" x14ac:dyDescent="0.25">
      <c r="A264" t="s">
        <v>7</v>
      </c>
      <c r="B264">
        <v>438</v>
      </c>
      <c r="C264" t="s">
        <v>12</v>
      </c>
      <c r="D264" s="3" t="s">
        <v>32</v>
      </c>
      <c r="E264" s="1">
        <v>3001.2</v>
      </c>
      <c r="F264">
        <v>2501</v>
      </c>
      <c r="G264" s="1">
        <v>5</v>
      </c>
      <c r="H264" s="1">
        <v>15</v>
      </c>
      <c r="I264" s="3" t="str">
        <f>TEXT(financials[[#This Row],[Schedule Delivery Date]],"mmmm")</f>
        <v>January</v>
      </c>
      <c r="J264">
        <f>YEAR(financials[[#This Row],[Schedule Delivery Date]])</f>
        <v>2026</v>
      </c>
      <c r="K264" s="7">
        <v>3</v>
      </c>
      <c r="L264" s="9">
        <v>46026</v>
      </c>
      <c r="M264" s="9">
        <v>46029</v>
      </c>
    </row>
    <row r="265" spans="1:13" x14ac:dyDescent="0.25">
      <c r="A265" t="s">
        <v>9</v>
      </c>
      <c r="B265">
        <v>439</v>
      </c>
      <c r="C265" t="s">
        <v>13</v>
      </c>
      <c r="D265" s="3" t="s">
        <v>33</v>
      </c>
      <c r="E265" s="1">
        <v>3474</v>
      </c>
      <c r="F265">
        <v>1158</v>
      </c>
      <c r="G265" s="1">
        <v>10</v>
      </c>
      <c r="H265" s="1">
        <v>20</v>
      </c>
      <c r="I265" s="3" t="str">
        <f>TEXT(financials[[#This Row],[Schedule Delivery Date]],"mmmm")</f>
        <v>January</v>
      </c>
      <c r="J265">
        <f>YEAR(financials[[#This Row],[Schedule Delivery Date]])</f>
        <v>2026</v>
      </c>
      <c r="K265" s="7">
        <v>3</v>
      </c>
      <c r="L265" s="9">
        <v>46026</v>
      </c>
      <c r="M265" s="9">
        <v>46026</v>
      </c>
    </row>
    <row r="266" spans="1:13" x14ac:dyDescent="0.25">
      <c r="A266" t="s">
        <v>9</v>
      </c>
      <c r="B266">
        <v>440</v>
      </c>
      <c r="C266" t="s">
        <v>12</v>
      </c>
      <c r="D266" s="3" t="s">
        <v>33</v>
      </c>
      <c r="E266" s="1">
        <v>3908</v>
      </c>
      <c r="F266">
        <v>1954</v>
      </c>
      <c r="G266" s="1">
        <v>10</v>
      </c>
      <c r="H266" s="1">
        <v>20</v>
      </c>
      <c r="I266" s="3" t="str">
        <f>TEXT(financials[[#This Row],[Schedule Delivery Date]],"mmmm")</f>
        <v>January</v>
      </c>
      <c r="J266">
        <f>YEAR(financials[[#This Row],[Schedule Delivery Date]])</f>
        <v>2026</v>
      </c>
      <c r="K266" s="7">
        <v>3</v>
      </c>
      <c r="L266" s="9">
        <v>46026</v>
      </c>
      <c r="M266" s="9">
        <v>46025</v>
      </c>
    </row>
    <row r="267" spans="1:13" x14ac:dyDescent="0.25">
      <c r="A267" t="s">
        <v>8</v>
      </c>
      <c r="B267">
        <v>441</v>
      </c>
      <c r="C267" t="s">
        <v>13</v>
      </c>
      <c r="D267" s="3" t="s">
        <v>33</v>
      </c>
      <c r="E267" s="1">
        <v>3975</v>
      </c>
      <c r="F267">
        <v>795</v>
      </c>
      <c r="G267" s="1">
        <v>10</v>
      </c>
      <c r="H267" s="1">
        <v>125</v>
      </c>
      <c r="I267" s="3" t="str">
        <f>TEXT(financials[[#This Row],[Schedule Delivery Date]],"mmmm")</f>
        <v>January</v>
      </c>
      <c r="J267">
        <f>YEAR(financials[[#This Row],[Schedule Delivery Date]])</f>
        <v>2026</v>
      </c>
      <c r="K267" s="7">
        <v>3</v>
      </c>
      <c r="L267" s="9">
        <v>46026</v>
      </c>
      <c r="M267" s="9">
        <v>46026</v>
      </c>
    </row>
    <row r="268" spans="1:13" x14ac:dyDescent="0.25">
      <c r="A268" t="s">
        <v>9</v>
      </c>
      <c r="B268">
        <v>442</v>
      </c>
      <c r="C268" t="s">
        <v>14</v>
      </c>
      <c r="D268" s="3" t="s">
        <v>31</v>
      </c>
      <c r="E268" s="1">
        <v>4235</v>
      </c>
      <c r="F268">
        <v>1210</v>
      </c>
      <c r="G268" s="1">
        <v>3</v>
      </c>
      <c r="H268" s="1">
        <v>350</v>
      </c>
      <c r="I268" s="3" t="str">
        <f>TEXT(financials[[#This Row],[Schedule Delivery Date]],"mmmm")</f>
        <v>January</v>
      </c>
      <c r="J268">
        <f>YEAR(financials[[#This Row],[Schedule Delivery Date]])</f>
        <v>2026</v>
      </c>
      <c r="K268" s="7">
        <v>3</v>
      </c>
      <c r="L268" s="9">
        <v>46032</v>
      </c>
      <c r="M268" s="9">
        <v>46032</v>
      </c>
    </row>
    <row r="269" spans="1:13" x14ac:dyDescent="0.25">
      <c r="A269" t="s">
        <v>6</v>
      </c>
      <c r="B269">
        <v>443</v>
      </c>
      <c r="C269" t="s">
        <v>14</v>
      </c>
      <c r="D269" s="3" t="s">
        <v>36</v>
      </c>
      <c r="E269" s="1">
        <v>6606</v>
      </c>
      <c r="F269">
        <v>1101</v>
      </c>
      <c r="G269" s="1">
        <v>260</v>
      </c>
      <c r="H269" s="1">
        <v>300</v>
      </c>
      <c r="I269" s="3" t="str">
        <f>TEXT(financials[[#This Row],[Schedule Delivery Date]],"mmmm")</f>
        <v>January</v>
      </c>
      <c r="J269">
        <f>YEAR(financials[[#This Row],[Schedule Delivery Date]])</f>
        <v>2026</v>
      </c>
      <c r="K269" s="7">
        <v>3</v>
      </c>
      <c r="L269" s="9">
        <v>46026</v>
      </c>
      <c r="M269" s="9">
        <v>46026</v>
      </c>
    </row>
    <row r="270" spans="1:13" x14ac:dyDescent="0.25">
      <c r="A270" t="s">
        <v>8</v>
      </c>
      <c r="B270">
        <v>444</v>
      </c>
      <c r="C270" t="s">
        <v>11</v>
      </c>
      <c r="D270" s="3" t="s">
        <v>33</v>
      </c>
      <c r="E270" s="1">
        <v>6652.5</v>
      </c>
      <c r="F270">
        <v>1774</v>
      </c>
      <c r="G270" s="1">
        <v>10</v>
      </c>
      <c r="H270" s="1">
        <v>125</v>
      </c>
      <c r="I270" s="3" t="str">
        <f>TEXT(financials[[#This Row],[Schedule Delivery Date]],"mmmm")</f>
        <v>January</v>
      </c>
      <c r="J270">
        <f>YEAR(financials[[#This Row],[Schedule Delivery Date]])</f>
        <v>2026</v>
      </c>
      <c r="K270" s="7">
        <v>3</v>
      </c>
      <c r="L270" s="9">
        <v>46026</v>
      </c>
      <c r="M270" s="9">
        <v>46026</v>
      </c>
    </row>
    <row r="271" spans="1:13" x14ac:dyDescent="0.25">
      <c r="A271" t="s">
        <v>9</v>
      </c>
      <c r="B271">
        <v>445</v>
      </c>
      <c r="C271" t="s">
        <v>11</v>
      </c>
      <c r="D271" s="3" t="s">
        <v>33</v>
      </c>
      <c r="E271" s="1">
        <v>6798.4</v>
      </c>
      <c r="F271">
        <v>2428</v>
      </c>
      <c r="G271" s="1">
        <v>10</v>
      </c>
      <c r="H271" s="1">
        <v>20</v>
      </c>
      <c r="I271" s="3" t="str">
        <f>TEXT(financials[[#This Row],[Schedule Delivery Date]],"mmmm")</f>
        <v>January</v>
      </c>
      <c r="J271">
        <f>YEAR(financials[[#This Row],[Schedule Delivery Date]])</f>
        <v>2026</v>
      </c>
      <c r="K271" s="7">
        <v>3</v>
      </c>
      <c r="L271" s="9">
        <v>46026</v>
      </c>
      <c r="M271" s="9">
        <v>46022</v>
      </c>
    </row>
    <row r="272" spans="1:13" x14ac:dyDescent="0.25">
      <c r="A272" t="s">
        <v>8</v>
      </c>
      <c r="B272">
        <v>446</v>
      </c>
      <c r="C272" t="s">
        <v>14</v>
      </c>
      <c r="D272" s="3" t="s">
        <v>33</v>
      </c>
      <c r="E272" s="1">
        <v>11140</v>
      </c>
      <c r="F272">
        <v>1114</v>
      </c>
      <c r="G272" s="1">
        <v>10</v>
      </c>
      <c r="H272" s="1">
        <v>125</v>
      </c>
      <c r="I272" s="3" t="str">
        <f>TEXT(financials[[#This Row],[Schedule Delivery Date]],"mmmm")</f>
        <v>January</v>
      </c>
      <c r="J272">
        <f>YEAR(financials[[#This Row],[Schedule Delivery Date]])</f>
        <v>2026</v>
      </c>
      <c r="K272" s="7">
        <v>3</v>
      </c>
      <c r="L272" s="9">
        <v>46026</v>
      </c>
      <c r="M272" s="9">
        <v>46026</v>
      </c>
    </row>
    <row r="273" spans="1:13" x14ac:dyDescent="0.25">
      <c r="A273" t="s">
        <v>8</v>
      </c>
      <c r="B273">
        <v>447</v>
      </c>
      <c r="C273" t="s">
        <v>12</v>
      </c>
      <c r="D273" s="3" t="s">
        <v>33</v>
      </c>
      <c r="E273" s="1">
        <v>14906.25</v>
      </c>
      <c r="F273">
        <v>2385</v>
      </c>
      <c r="G273" s="1">
        <v>10</v>
      </c>
      <c r="H273" s="1">
        <v>125</v>
      </c>
      <c r="I273" s="3" t="str">
        <f>TEXT(financials[[#This Row],[Schedule Delivery Date]],"mmmm")</f>
        <v>January</v>
      </c>
      <c r="J273">
        <f>YEAR(financials[[#This Row],[Schedule Delivery Date]])</f>
        <v>2026</v>
      </c>
      <c r="K273" s="7">
        <v>3</v>
      </c>
      <c r="L273" s="9">
        <v>46026</v>
      </c>
      <c r="M273" s="9">
        <v>46025</v>
      </c>
    </row>
    <row r="274" spans="1:13" x14ac:dyDescent="0.25">
      <c r="A274" t="s">
        <v>8</v>
      </c>
      <c r="B274">
        <v>448</v>
      </c>
      <c r="C274" t="s">
        <v>55</v>
      </c>
      <c r="D274" s="3" t="s">
        <v>33</v>
      </c>
      <c r="E274" s="1">
        <v>18700</v>
      </c>
      <c r="F274">
        <v>2992</v>
      </c>
      <c r="G274" s="1">
        <v>10</v>
      </c>
      <c r="H274" s="1">
        <v>125</v>
      </c>
      <c r="I274" s="3" t="str">
        <f>TEXT(financials[[#This Row],[Schedule Delivery Date]],"mmmm")</f>
        <v>January</v>
      </c>
      <c r="J274">
        <f>YEAR(financials[[#This Row],[Schedule Delivery Date]])</f>
        <v>2026</v>
      </c>
      <c r="K274" s="7">
        <v>3</v>
      </c>
      <c r="L274" s="9">
        <v>46026</v>
      </c>
      <c r="M274" s="9">
        <v>46024</v>
      </c>
    </row>
    <row r="275" spans="1:13" x14ac:dyDescent="0.25">
      <c r="A275" t="s">
        <v>9</v>
      </c>
      <c r="B275">
        <v>449</v>
      </c>
      <c r="C275" t="s">
        <v>13</v>
      </c>
      <c r="D275" s="3" t="s">
        <v>31</v>
      </c>
      <c r="E275" s="1">
        <v>30492</v>
      </c>
      <c r="F275">
        <v>792</v>
      </c>
      <c r="G275" s="1">
        <v>3</v>
      </c>
      <c r="H275" s="1">
        <v>350</v>
      </c>
      <c r="I275" s="3" t="str">
        <f>TEXT(financials[[#This Row],[Schedule Delivery Date]],"mmmm")</f>
        <v>January</v>
      </c>
      <c r="J275">
        <f>YEAR(financials[[#This Row],[Schedule Delivery Date]])</f>
        <v>2026</v>
      </c>
      <c r="K275" s="7">
        <v>3</v>
      </c>
      <c r="L275" s="9">
        <v>46026</v>
      </c>
      <c r="M275" s="9">
        <v>46024</v>
      </c>
    </row>
    <row r="276" spans="1:13" x14ac:dyDescent="0.25">
      <c r="A276" t="s">
        <v>6</v>
      </c>
      <c r="B276">
        <v>450</v>
      </c>
      <c r="C276" t="s">
        <v>11</v>
      </c>
      <c r="D276" s="3" t="s">
        <v>36</v>
      </c>
      <c r="E276" s="1">
        <v>37296</v>
      </c>
      <c r="F276">
        <v>888</v>
      </c>
      <c r="G276" s="1">
        <v>260</v>
      </c>
      <c r="H276" s="1">
        <v>300</v>
      </c>
      <c r="I276" s="3" t="str">
        <f>TEXT(financials[[#This Row],[Schedule Delivery Date]],"mmmm")</f>
        <v>January</v>
      </c>
      <c r="J276">
        <f>YEAR(financials[[#This Row],[Schedule Delivery Date]])</f>
        <v>2026</v>
      </c>
      <c r="K276" s="7">
        <v>3</v>
      </c>
      <c r="L276" s="9">
        <v>46026</v>
      </c>
      <c r="M276" s="9">
        <v>46026</v>
      </c>
    </row>
    <row r="277" spans="1:13" x14ac:dyDescent="0.25">
      <c r="A277" t="s">
        <v>9</v>
      </c>
      <c r="B277">
        <v>451</v>
      </c>
      <c r="C277" t="s">
        <v>11</v>
      </c>
      <c r="D277" s="3" t="s">
        <v>31</v>
      </c>
      <c r="E277" s="1">
        <v>41996.5</v>
      </c>
      <c r="F277">
        <v>923</v>
      </c>
      <c r="G277" s="1">
        <v>3</v>
      </c>
      <c r="H277" s="1">
        <v>350</v>
      </c>
      <c r="I277" s="3" t="str">
        <f>TEXT(financials[[#This Row],[Schedule Delivery Date]],"mmmm")</f>
        <v>January</v>
      </c>
      <c r="J277">
        <f>YEAR(financials[[#This Row],[Schedule Delivery Date]])</f>
        <v>2026</v>
      </c>
      <c r="K277" s="7">
        <v>3</v>
      </c>
      <c r="L277" s="9">
        <v>46026</v>
      </c>
      <c r="M277" s="9">
        <v>46026</v>
      </c>
    </row>
    <row r="278" spans="1:13" x14ac:dyDescent="0.25">
      <c r="A278" t="s">
        <v>9</v>
      </c>
      <c r="B278">
        <v>452</v>
      </c>
      <c r="C278" t="s">
        <v>55</v>
      </c>
      <c r="D278" s="3" t="s">
        <v>31</v>
      </c>
      <c r="E278" s="1">
        <v>43144.5</v>
      </c>
      <c r="F278">
        <v>1761</v>
      </c>
      <c r="G278" s="1">
        <v>3</v>
      </c>
      <c r="H278" s="1">
        <v>350</v>
      </c>
      <c r="I278" s="3" t="str">
        <f>TEXT(financials[[#This Row],[Schedule Delivery Date]],"mmmm")</f>
        <v>January</v>
      </c>
      <c r="J278">
        <f>YEAR(financials[[#This Row],[Schedule Delivery Date]])</f>
        <v>2026</v>
      </c>
      <c r="K278" s="7">
        <v>3</v>
      </c>
      <c r="L278" s="9">
        <v>46026</v>
      </c>
      <c r="M278" s="9">
        <v>46026</v>
      </c>
    </row>
    <row r="279" spans="1:13" x14ac:dyDescent="0.25">
      <c r="A279" t="s">
        <v>9</v>
      </c>
      <c r="B279">
        <v>453</v>
      </c>
      <c r="C279" t="s">
        <v>12</v>
      </c>
      <c r="D279" s="3" t="s">
        <v>31</v>
      </c>
      <c r="E279" s="1">
        <v>81445</v>
      </c>
      <c r="F279">
        <v>1790</v>
      </c>
      <c r="G279" s="1">
        <v>3</v>
      </c>
      <c r="H279" s="1">
        <v>350</v>
      </c>
      <c r="I279" s="3" t="str">
        <f>TEXT(financials[[#This Row],[Schedule Delivery Date]],"mmmm")</f>
        <v>January</v>
      </c>
      <c r="J279">
        <f>YEAR(financials[[#This Row],[Schedule Delivery Date]])</f>
        <v>2026</v>
      </c>
      <c r="K279" s="7">
        <v>3</v>
      </c>
      <c r="L279" s="9">
        <v>46026</v>
      </c>
      <c r="M279" s="9">
        <v>46025</v>
      </c>
    </row>
    <row r="280" spans="1:13" x14ac:dyDescent="0.25">
      <c r="A280" t="s">
        <v>6</v>
      </c>
      <c r="B280">
        <v>454</v>
      </c>
      <c r="C280" t="s">
        <v>55</v>
      </c>
      <c r="D280" s="3" t="s">
        <v>36</v>
      </c>
      <c r="E280" s="1">
        <v>89790</v>
      </c>
      <c r="F280">
        <v>2993</v>
      </c>
      <c r="G280" s="1">
        <v>260</v>
      </c>
      <c r="H280" s="1">
        <v>300</v>
      </c>
      <c r="I280" s="3" t="str">
        <f>TEXT(financials[[#This Row],[Schedule Delivery Date]],"mmmm")</f>
        <v>January</v>
      </c>
      <c r="J280">
        <f>YEAR(financials[[#This Row],[Schedule Delivery Date]])</f>
        <v>2026</v>
      </c>
      <c r="K280" s="7">
        <v>3</v>
      </c>
      <c r="L280" s="9">
        <v>46026</v>
      </c>
      <c r="M280" s="9">
        <v>46026</v>
      </c>
    </row>
    <row r="281" spans="1:13" x14ac:dyDescent="0.25">
      <c r="A281" t="s">
        <v>6</v>
      </c>
      <c r="B281">
        <v>455</v>
      </c>
      <c r="C281" t="s">
        <v>12</v>
      </c>
      <c r="D281" s="3" t="s">
        <v>36</v>
      </c>
      <c r="E281" s="1">
        <v>111375</v>
      </c>
      <c r="F281">
        <v>2475</v>
      </c>
      <c r="G281" s="1">
        <v>260</v>
      </c>
      <c r="H281" s="1">
        <v>300</v>
      </c>
      <c r="I281" s="3" t="str">
        <f>TEXT(financials[[#This Row],[Schedule Delivery Date]],"mmmm")</f>
        <v>January</v>
      </c>
      <c r="J281">
        <f>YEAR(financials[[#This Row],[Schedule Delivery Date]])</f>
        <v>2026</v>
      </c>
      <c r="K281" s="7">
        <v>3</v>
      </c>
      <c r="L281" s="9">
        <v>46026</v>
      </c>
      <c r="M281" s="9">
        <v>46026</v>
      </c>
    </row>
    <row r="282" spans="1:13" x14ac:dyDescent="0.25">
      <c r="A282" t="s">
        <v>10</v>
      </c>
      <c r="B282">
        <v>456</v>
      </c>
      <c r="C282" t="s">
        <v>13</v>
      </c>
      <c r="D282" s="3" t="s">
        <v>35</v>
      </c>
      <c r="E282" s="1">
        <v>0</v>
      </c>
      <c r="F282">
        <v>2838</v>
      </c>
      <c r="G282" s="1">
        <v>250</v>
      </c>
      <c r="H282" s="1">
        <v>12</v>
      </c>
      <c r="I282" s="3" t="str">
        <f>TEXT(financials[[#This Row],[Schedule Delivery Date]],"mmmm")</f>
        <v>January</v>
      </c>
      <c r="J282">
        <f>YEAR(financials[[#This Row],[Schedule Delivery Date]])</f>
        <v>2026</v>
      </c>
      <c r="K282" s="7">
        <v>4</v>
      </c>
      <c r="L282" s="9">
        <v>46026</v>
      </c>
      <c r="M282" s="9">
        <v>46026</v>
      </c>
    </row>
    <row r="283" spans="1:13" x14ac:dyDescent="0.25">
      <c r="A283" t="s">
        <v>10</v>
      </c>
      <c r="B283">
        <v>457</v>
      </c>
      <c r="C283" t="s">
        <v>55</v>
      </c>
      <c r="D283" s="3" t="s">
        <v>36</v>
      </c>
      <c r="E283" s="1">
        <v>0</v>
      </c>
      <c r="F283">
        <v>1953</v>
      </c>
      <c r="G283" s="1">
        <v>260</v>
      </c>
      <c r="H283" s="1">
        <v>12</v>
      </c>
      <c r="I283" s="3" t="str">
        <f>TEXT(financials[[#This Row],[Schedule Delivery Date]],"mmmm")</f>
        <v>January</v>
      </c>
      <c r="J283">
        <f>YEAR(financials[[#This Row],[Schedule Delivery Date]])</f>
        <v>2026</v>
      </c>
      <c r="K283" s="7">
        <v>4</v>
      </c>
      <c r="L283" s="9">
        <v>46026</v>
      </c>
      <c r="M283" s="9">
        <v>46026</v>
      </c>
    </row>
    <row r="284" spans="1:13" x14ac:dyDescent="0.25">
      <c r="A284" t="s">
        <v>8</v>
      </c>
      <c r="B284">
        <v>458</v>
      </c>
      <c r="C284" t="s">
        <v>13</v>
      </c>
      <c r="D284" s="3" t="s">
        <v>36</v>
      </c>
      <c r="E284" s="1">
        <v>0</v>
      </c>
      <c r="F284">
        <v>4219.5</v>
      </c>
      <c r="G284" s="1">
        <v>260</v>
      </c>
      <c r="H284" s="1">
        <v>125</v>
      </c>
      <c r="I284" s="3" t="str">
        <f>TEXT(financials[[#This Row],[Schedule Delivery Date]],"mmmm")</f>
        <v>January</v>
      </c>
      <c r="J284">
        <f>YEAR(financials[[#This Row],[Schedule Delivery Date]])</f>
        <v>2026</v>
      </c>
      <c r="K284" s="7">
        <v>4</v>
      </c>
      <c r="L284" s="9">
        <v>46026</v>
      </c>
      <c r="M284" s="9">
        <v>46025</v>
      </c>
    </row>
    <row r="285" spans="1:13" x14ac:dyDescent="0.25">
      <c r="A285" t="s">
        <v>9</v>
      </c>
      <c r="B285">
        <v>459</v>
      </c>
      <c r="C285" t="s">
        <v>55</v>
      </c>
      <c r="D285" s="3" t="s">
        <v>33</v>
      </c>
      <c r="E285" s="1">
        <v>314.47500000000002</v>
      </c>
      <c r="F285">
        <v>4492.5</v>
      </c>
      <c r="G285" s="1">
        <v>10</v>
      </c>
      <c r="H285" s="1">
        <v>7</v>
      </c>
      <c r="I285" s="3" t="str">
        <f>TEXT(financials[[#This Row],[Schedule Delivery Date]],"mmmm")</f>
        <v>January</v>
      </c>
      <c r="J285">
        <f>YEAR(financials[[#This Row],[Schedule Delivery Date]])</f>
        <v>2026</v>
      </c>
      <c r="K285" s="7">
        <v>4</v>
      </c>
      <c r="L285" s="9">
        <v>46026</v>
      </c>
      <c r="M285" s="9">
        <v>46026</v>
      </c>
    </row>
    <row r="286" spans="1:13" x14ac:dyDescent="0.25">
      <c r="A286" t="s">
        <v>10</v>
      </c>
      <c r="B286">
        <v>460</v>
      </c>
      <c r="C286" t="s">
        <v>14</v>
      </c>
      <c r="D286" s="3" t="s">
        <v>35</v>
      </c>
      <c r="E286" s="1">
        <v>689.76</v>
      </c>
      <c r="F286">
        <v>1916</v>
      </c>
      <c r="G286" s="1">
        <v>250</v>
      </c>
      <c r="H286" s="1">
        <v>12</v>
      </c>
      <c r="I286" s="3" t="str">
        <f>TEXT(financials[[#This Row],[Schedule Delivery Date]],"mmmm")</f>
        <v>January</v>
      </c>
      <c r="J286">
        <f>YEAR(financials[[#This Row],[Schedule Delivery Date]])</f>
        <v>2026</v>
      </c>
      <c r="K286" s="7">
        <v>4</v>
      </c>
      <c r="L286" s="9">
        <v>46026</v>
      </c>
      <c r="M286" s="9">
        <v>46026</v>
      </c>
    </row>
    <row r="287" spans="1:13" x14ac:dyDescent="0.25">
      <c r="A287" t="s">
        <v>9</v>
      </c>
      <c r="B287">
        <v>461</v>
      </c>
      <c r="C287" t="s">
        <v>13</v>
      </c>
      <c r="D287" s="3" t="s">
        <v>33</v>
      </c>
      <c r="E287" s="1">
        <v>705.04</v>
      </c>
      <c r="F287">
        <v>1259</v>
      </c>
      <c r="G287" s="1">
        <v>10</v>
      </c>
      <c r="H287" s="1">
        <v>7</v>
      </c>
      <c r="I287" s="3" t="str">
        <f>TEXT(financials[[#This Row],[Schedule Delivery Date]],"mmmm")</f>
        <v>January</v>
      </c>
      <c r="J287">
        <f>YEAR(financials[[#This Row],[Schedule Delivery Date]])</f>
        <v>2026</v>
      </c>
      <c r="K287" s="7">
        <v>4</v>
      </c>
      <c r="L287" s="9">
        <v>46026</v>
      </c>
      <c r="M287" s="9">
        <v>46026</v>
      </c>
    </row>
    <row r="288" spans="1:13" x14ac:dyDescent="0.25">
      <c r="A288" t="s">
        <v>9</v>
      </c>
      <c r="B288">
        <v>462</v>
      </c>
      <c r="C288" t="s">
        <v>11</v>
      </c>
      <c r="D288" s="3" t="s">
        <v>33</v>
      </c>
      <c r="E288" s="1">
        <v>759.15000000000009</v>
      </c>
      <c r="F288">
        <v>723</v>
      </c>
      <c r="G288" s="1">
        <v>10</v>
      </c>
      <c r="H288" s="1">
        <v>7</v>
      </c>
      <c r="I288" s="3" t="str">
        <f>TEXT(financials[[#This Row],[Schedule Delivery Date]],"mmmm")</f>
        <v>January</v>
      </c>
      <c r="J288">
        <f>YEAR(financials[[#This Row],[Schedule Delivery Date]])</f>
        <v>2026</v>
      </c>
      <c r="K288" s="7">
        <v>4</v>
      </c>
      <c r="L288" s="9">
        <v>46026</v>
      </c>
      <c r="M288" s="9">
        <v>46028</v>
      </c>
    </row>
    <row r="289" spans="1:13" x14ac:dyDescent="0.25">
      <c r="A289" t="s">
        <v>7</v>
      </c>
      <c r="B289">
        <v>463</v>
      </c>
      <c r="C289" t="s">
        <v>13</v>
      </c>
      <c r="D289" s="3" t="s">
        <v>34</v>
      </c>
      <c r="E289" s="1">
        <v>765</v>
      </c>
      <c r="F289">
        <v>510</v>
      </c>
      <c r="G289" s="1">
        <v>120</v>
      </c>
      <c r="H289" s="1">
        <v>15</v>
      </c>
      <c r="I289" s="3" t="str">
        <f>TEXT(financials[[#This Row],[Schedule Delivery Date]],"mmmm")</f>
        <v>January</v>
      </c>
      <c r="J289">
        <f>YEAR(financials[[#This Row],[Schedule Delivery Date]])</f>
        <v>2026</v>
      </c>
      <c r="K289" s="7">
        <v>4</v>
      </c>
      <c r="L289" s="9">
        <v>46026</v>
      </c>
      <c r="M289" s="9">
        <v>46025</v>
      </c>
    </row>
    <row r="290" spans="1:13" x14ac:dyDescent="0.25">
      <c r="A290" t="s">
        <v>9</v>
      </c>
      <c r="B290">
        <v>464</v>
      </c>
      <c r="C290" t="s">
        <v>12</v>
      </c>
      <c r="D290" s="3" t="s">
        <v>34</v>
      </c>
      <c r="E290" s="1">
        <v>772.80000000000007</v>
      </c>
      <c r="F290">
        <v>3864</v>
      </c>
      <c r="G290" s="1">
        <v>120</v>
      </c>
      <c r="H290" s="1">
        <v>20</v>
      </c>
      <c r="I290" s="3" t="str">
        <f>TEXT(financials[[#This Row],[Schedule Delivery Date]],"mmmm")</f>
        <v>January</v>
      </c>
      <c r="J290">
        <f>YEAR(financials[[#This Row],[Schedule Delivery Date]])</f>
        <v>2026</v>
      </c>
      <c r="K290" s="7">
        <v>4</v>
      </c>
      <c r="L290" s="9">
        <v>46026</v>
      </c>
      <c r="M290" s="9">
        <v>46026</v>
      </c>
    </row>
    <row r="291" spans="1:13" x14ac:dyDescent="0.25">
      <c r="A291" t="s">
        <v>10</v>
      </c>
      <c r="B291">
        <v>465</v>
      </c>
      <c r="C291" t="s">
        <v>12</v>
      </c>
      <c r="D291" s="3" t="s">
        <v>35</v>
      </c>
      <c r="E291" s="1">
        <v>1460.34</v>
      </c>
      <c r="F291">
        <v>1738.5</v>
      </c>
      <c r="G291" s="1">
        <v>250</v>
      </c>
      <c r="H291" s="1">
        <v>12</v>
      </c>
      <c r="I291" s="3" t="str">
        <f>TEXT(financials[[#This Row],[Schedule Delivery Date]],"mmmm")</f>
        <v>January</v>
      </c>
      <c r="J291">
        <f>YEAR(financials[[#This Row],[Schedule Delivery Date]])</f>
        <v>2026</v>
      </c>
      <c r="K291" s="7">
        <v>4</v>
      </c>
      <c r="L291" s="9">
        <v>46026</v>
      </c>
      <c r="M291" s="9">
        <v>46029</v>
      </c>
    </row>
    <row r="292" spans="1:13" x14ac:dyDescent="0.25">
      <c r="A292" t="s">
        <v>9</v>
      </c>
      <c r="B292">
        <v>466</v>
      </c>
      <c r="C292" t="s">
        <v>13</v>
      </c>
      <c r="D292" s="3" t="s">
        <v>31</v>
      </c>
      <c r="E292" s="1">
        <v>1548</v>
      </c>
      <c r="F292">
        <v>2580</v>
      </c>
      <c r="G292" s="1">
        <v>3</v>
      </c>
      <c r="H292" s="1">
        <v>20</v>
      </c>
      <c r="I292" s="3" t="str">
        <f>TEXT(financials[[#This Row],[Schedule Delivery Date]],"mmmm")</f>
        <v>January</v>
      </c>
      <c r="J292">
        <f>YEAR(financials[[#This Row],[Schedule Delivery Date]])</f>
        <v>2026</v>
      </c>
      <c r="K292" s="7">
        <v>4</v>
      </c>
      <c r="L292" s="9">
        <v>46026</v>
      </c>
      <c r="M292" s="9">
        <v>46027</v>
      </c>
    </row>
    <row r="293" spans="1:13" x14ac:dyDescent="0.25">
      <c r="A293" t="s">
        <v>9</v>
      </c>
      <c r="B293">
        <v>467</v>
      </c>
      <c r="C293" t="s">
        <v>55</v>
      </c>
      <c r="D293" s="3" t="s">
        <v>34</v>
      </c>
      <c r="E293" s="1">
        <v>1696.8000000000002</v>
      </c>
      <c r="F293">
        <v>606</v>
      </c>
      <c r="G293" s="1">
        <v>120</v>
      </c>
      <c r="H293" s="1">
        <v>20</v>
      </c>
      <c r="I293" s="3" t="str">
        <f>TEXT(financials[[#This Row],[Schedule Delivery Date]],"mmmm")</f>
        <v>January</v>
      </c>
      <c r="J293">
        <f>YEAR(financials[[#This Row],[Schedule Delivery Date]])</f>
        <v>2026</v>
      </c>
      <c r="K293" s="7">
        <v>4</v>
      </c>
      <c r="L293" s="9">
        <v>46026</v>
      </c>
      <c r="M293" s="9">
        <v>46027</v>
      </c>
    </row>
    <row r="294" spans="1:13" x14ac:dyDescent="0.25">
      <c r="A294" t="s">
        <v>8</v>
      </c>
      <c r="B294">
        <v>468</v>
      </c>
      <c r="C294" t="s">
        <v>11</v>
      </c>
      <c r="D294" s="3" t="s">
        <v>31</v>
      </c>
      <c r="E294" s="1">
        <v>1856.25</v>
      </c>
      <c r="F294">
        <v>742.5</v>
      </c>
      <c r="G294" s="1">
        <v>3</v>
      </c>
      <c r="H294" s="1">
        <v>125</v>
      </c>
      <c r="I294" s="3" t="str">
        <f>TEXT(financials[[#This Row],[Schedule Delivery Date]],"mmmm")</f>
        <v>January</v>
      </c>
      <c r="J294">
        <f>YEAR(financials[[#This Row],[Schedule Delivery Date]])</f>
        <v>2026</v>
      </c>
      <c r="K294" s="7">
        <v>4</v>
      </c>
      <c r="L294" s="9">
        <v>46026</v>
      </c>
      <c r="M294" s="9">
        <v>46027</v>
      </c>
    </row>
    <row r="295" spans="1:13" x14ac:dyDescent="0.25">
      <c r="A295" t="s">
        <v>9</v>
      </c>
      <c r="B295">
        <v>469</v>
      </c>
      <c r="C295" t="s">
        <v>12</v>
      </c>
      <c r="D295" s="3" t="s">
        <v>33</v>
      </c>
      <c r="E295" s="1">
        <v>1949.6399999999999</v>
      </c>
      <c r="F295">
        <v>2532</v>
      </c>
      <c r="G295" s="1">
        <v>10</v>
      </c>
      <c r="H295" s="1">
        <v>7</v>
      </c>
      <c r="I295" s="3" t="str">
        <f>TEXT(financials[[#This Row],[Schedule Delivery Date]],"mmmm")</f>
        <v>January</v>
      </c>
      <c r="J295">
        <f>YEAR(financials[[#This Row],[Schedule Delivery Date]])</f>
        <v>2026</v>
      </c>
      <c r="K295" s="7">
        <v>4</v>
      </c>
      <c r="L295" s="9">
        <v>46026</v>
      </c>
      <c r="M295" s="9">
        <v>46026</v>
      </c>
    </row>
    <row r="296" spans="1:13" x14ac:dyDescent="0.25">
      <c r="A296" t="s">
        <v>9</v>
      </c>
      <c r="B296">
        <v>470</v>
      </c>
      <c r="C296" t="s">
        <v>11</v>
      </c>
      <c r="D296" s="3" t="s">
        <v>34</v>
      </c>
      <c r="E296" s="1">
        <v>2310.3000000000002</v>
      </c>
      <c r="F296">
        <v>3850.5</v>
      </c>
      <c r="G296" s="1">
        <v>120</v>
      </c>
      <c r="H296" s="1">
        <v>20</v>
      </c>
      <c r="I296" s="3" t="str">
        <f>TEXT(financials[[#This Row],[Schedule Delivery Date]],"mmmm")</f>
        <v>January</v>
      </c>
      <c r="J296">
        <f>YEAR(financials[[#This Row],[Schedule Delivery Date]])</f>
        <v>2026</v>
      </c>
      <c r="K296" s="7">
        <v>4</v>
      </c>
      <c r="L296" s="9">
        <v>46026</v>
      </c>
      <c r="M296" s="9">
        <v>46026</v>
      </c>
    </row>
    <row r="297" spans="1:13" x14ac:dyDescent="0.25">
      <c r="A297" t="s">
        <v>9</v>
      </c>
      <c r="B297">
        <v>471</v>
      </c>
      <c r="C297" t="s">
        <v>14</v>
      </c>
      <c r="D297" s="3" t="s">
        <v>33</v>
      </c>
      <c r="E297" s="1">
        <v>2661.75</v>
      </c>
      <c r="F297">
        <v>2535</v>
      </c>
      <c r="G297" s="1">
        <v>10</v>
      </c>
      <c r="H297" s="1">
        <v>7</v>
      </c>
      <c r="I297" s="3" t="str">
        <f>TEXT(financials[[#This Row],[Schedule Delivery Date]],"mmmm")</f>
        <v>January</v>
      </c>
      <c r="J297">
        <f>YEAR(financials[[#This Row],[Schedule Delivery Date]])</f>
        <v>2026</v>
      </c>
      <c r="K297" s="7">
        <v>4</v>
      </c>
      <c r="L297" s="9">
        <v>46026</v>
      </c>
      <c r="M297" s="9">
        <v>46026</v>
      </c>
    </row>
    <row r="298" spans="1:13" x14ac:dyDescent="0.25">
      <c r="A298" t="s">
        <v>9</v>
      </c>
      <c r="B298">
        <v>472</v>
      </c>
      <c r="C298" t="s">
        <v>11</v>
      </c>
      <c r="D298" s="3" t="s">
        <v>35</v>
      </c>
      <c r="E298" s="1">
        <v>3302.25</v>
      </c>
      <c r="F298">
        <v>943.5</v>
      </c>
      <c r="G298" s="1">
        <v>250</v>
      </c>
      <c r="H298" s="1">
        <v>350</v>
      </c>
      <c r="I298" s="3" t="str">
        <f>TEXT(financials[[#This Row],[Schedule Delivery Date]],"mmmm")</f>
        <v>January</v>
      </c>
      <c r="J298">
        <f>YEAR(financials[[#This Row],[Schedule Delivery Date]])</f>
        <v>2026</v>
      </c>
      <c r="K298" s="7">
        <v>4</v>
      </c>
      <c r="L298" s="9">
        <v>46026</v>
      </c>
      <c r="M298" s="9">
        <v>46025</v>
      </c>
    </row>
    <row r="299" spans="1:13" x14ac:dyDescent="0.25">
      <c r="A299" t="s">
        <v>7</v>
      </c>
      <c r="B299">
        <v>473</v>
      </c>
      <c r="C299" t="s">
        <v>12</v>
      </c>
      <c r="D299" s="3" t="s">
        <v>33</v>
      </c>
      <c r="E299" s="1">
        <v>3420.8999999999996</v>
      </c>
      <c r="F299">
        <v>3801</v>
      </c>
      <c r="G299" s="1">
        <v>10</v>
      </c>
      <c r="H299" s="1">
        <v>15</v>
      </c>
      <c r="I299" s="3" t="str">
        <f>TEXT(financials[[#This Row],[Schedule Delivery Date]],"mmmm")</f>
        <v>January</v>
      </c>
      <c r="J299">
        <f>YEAR(financials[[#This Row],[Schedule Delivery Date]])</f>
        <v>2026</v>
      </c>
      <c r="K299" s="7">
        <v>4</v>
      </c>
      <c r="L299" s="9">
        <v>46026</v>
      </c>
      <c r="M299" s="9">
        <v>46024</v>
      </c>
    </row>
    <row r="300" spans="1:13" x14ac:dyDescent="0.25">
      <c r="A300" t="s">
        <v>7</v>
      </c>
      <c r="B300">
        <v>474</v>
      </c>
      <c r="C300" t="s">
        <v>14</v>
      </c>
      <c r="D300" s="3" t="s">
        <v>34</v>
      </c>
      <c r="E300" s="1">
        <v>3547.8</v>
      </c>
      <c r="F300">
        <v>2628</v>
      </c>
      <c r="G300" s="1">
        <v>120</v>
      </c>
      <c r="H300" s="1">
        <v>15</v>
      </c>
      <c r="I300" s="3" t="str">
        <f>TEXT(financials[[#This Row],[Schedule Delivery Date]],"mmmm")</f>
        <v>January</v>
      </c>
      <c r="J300">
        <f>YEAR(financials[[#This Row],[Schedule Delivery Date]])</f>
        <v>2026</v>
      </c>
      <c r="K300" s="7">
        <v>4</v>
      </c>
      <c r="L300" s="9">
        <v>46026</v>
      </c>
      <c r="M300" s="9">
        <v>46026</v>
      </c>
    </row>
    <row r="301" spans="1:13" x14ac:dyDescent="0.25">
      <c r="A301" t="s">
        <v>7</v>
      </c>
      <c r="B301">
        <v>475</v>
      </c>
      <c r="C301" t="s">
        <v>11</v>
      </c>
      <c r="D301" s="3" t="s">
        <v>33</v>
      </c>
      <c r="E301" s="1">
        <v>3631.5</v>
      </c>
      <c r="F301">
        <v>1614</v>
      </c>
      <c r="G301" s="1">
        <v>10</v>
      </c>
      <c r="H301" s="1">
        <v>15</v>
      </c>
      <c r="I301" s="3" t="str">
        <f>TEXT(financials[[#This Row],[Schedule Delivery Date]],"mmmm")</f>
        <v>January</v>
      </c>
      <c r="J301">
        <f>YEAR(financials[[#This Row],[Schedule Delivery Date]])</f>
        <v>2026</v>
      </c>
      <c r="K301" s="7">
        <v>4</v>
      </c>
      <c r="L301" s="9">
        <v>46037</v>
      </c>
      <c r="M301" s="9">
        <v>46037</v>
      </c>
    </row>
    <row r="302" spans="1:13" x14ac:dyDescent="0.25">
      <c r="A302" t="s">
        <v>10</v>
      </c>
      <c r="B302">
        <v>476</v>
      </c>
      <c r="C302" t="s">
        <v>11</v>
      </c>
      <c r="D302" s="3" t="s">
        <v>36</v>
      </c>
      <c r="E302" s="1">
        <v>4224.6000000000004</v>
      </c>
      <c r="F302">
        <v>3520.5</v>
      </c>
      <c r="G302" s="1">
        <v>260</v>
      </c>
      <c r="H302" s="1">
        <v>12</v>
      </c>
      <c r="I302" s="3" t="str">
        <f>TEXT(financials[[#This Row],[Schedule Delivery Date]],"mmmm")</f>
        <v>January</v>
      </c>
      <c r="J302">
        <f>YEAR(financials[[#This Row],[Schedule Delivery Date]])</f>
        <v>2026</v>
      </c>
      <c r="K302" s="7">
        <v>4</v>
      </c>
      <c r="L302" s="9">
        <v>46040</v>
      </c>
      <c r="M302" s="9">
        <v>46037</v>
      </c>
    </row>
    <row r="303" spans="1:13" x14ac:dyDescent="0.25">
      <c r="A303" t="s">
        <v>7</v>
      </c>
      <c r="B303">
        <v>477</v>
      </c>
      <c r="C303" t="s">
        <v>55</v>
      </c>
      <c r="D303" s="3" t="s">
        <v>33</v>
      </c>
      <c r="E303" s="1">
        <v>4961.25</v>
      </c>
      <c r="F303">
        <v>3675</v>
      </c>
      <c r="G303" s="1">
        <v>10</v>
      </c>
      <c r="H303" s="1">
        <v>15</v>
      </c>
      <c r="I303" s="3" t="str">
        <f>TEXT(financials[[#This Row],[Schedule Delivery Date]],"mmmm")</f>
        <v>January</v>
      </c>
      <c r="J303">
        <f>YEAR(financials[[#This Row],[Schedule Delivery Date]])</f>
        <v>2026</v>
      </c>
      <c r="K303" s="7">
        <v>4</v>
      </c>
      <c r="L303" s="9">
        <v>46027</v>
      </c>
      <c r="M303" s="9">
        <v>46025</v>
      </c>
    </row>
    <row r="304" spans="1:13" x14ac:dyDescent="0.25">
      <c r="A304" t="s">
        <v>8</v>
      </c>
      <c r="B304">
        <v>478</v>
      </c>
      <c r="C304" t="s">
        <v>14</v>
      </c>
      <c r="D304" s="3" t="s">
        <v>36</v>
      </c>
      <c r="E304" s="1">
        <v>5370</v>
      </c>
      <c r="F304">
        <v>1074</v>
      </c>
      <c r="G304" s="1">
        <v>260</v>
      </c>
      <c r="H304" s="1">
        <v>125</v>
      </c>
      <c r="I304" s="3" t="str">
        <f>TEXT(financials[[#This Row],[Schedule Delivery Date]],"mmmm")</f>
        <v>January</v>
      </c>
      <c r="J304">
        <f>YEAR(financials[[#This Row],[Schedule Delivery Date]])</f>
        <v>2026</v>
      </c>
      <c r="K304" s="7">
        <v>4</v>
      </c>
      <c r="L304" s="9">
        <v>46027</v>
      </c>
      <c r="M304" s="9">
        <v>46025</v>
      </c>
    </row>
    <row r="305" spans="1:13" x14ac:dyDescent="0.25">
      <c r="A305" t="s">
        <v>6</v>
      </c>
      <c r="B305">
        <v>479</v>
      </c>
      <c r="C305" t="s">
        <v>55</v>
      </c>
      <c r="D305" s="3" t="s">
        <v>32</v>
      </c>
      <c r="E305" s="1">
        <v>6903</v>
      </c>
      <c r="F305">
        <v>2301</v>
      </c>
      <c r="G305" s="1">
        <v>5</v>
      </c>
      <c r="H305" s="1">
        <v>300</v>
      </c>
      <c r="I305" s="3" t="str">
        <f>TEXT(financials[[#This Row],[Schedule Delivery Date]],"mmmm")</f>
        <v>January</v>
      </c>
      <c r="J305">
        <f>YEAR(financials[[#This Row],[Schedule Delivery Date]])</f>
        <v>2026</v>
      </c>
      <c r="K305" s="7">
        <v>4</v>
      </c>
      <c r="L305" s="9">
        <v>46030</v>
      </c>
      <c r="M305" s="9">
        <v>46030</v>
      </c>
    </row>
    <row r="306" spans="1:13" x14ac:dyDescent="0.25">
      <c r="A306" t="s">
        <v>9</v>
      </c>
      <c r="B306">
        <v>480</v>
      </c>
      <c r="C306" t="s">
        <v>14</v>
      </c>
      <c r="D306" s="3" t="s">
        <v>31</v>
      </c>
      <c r="E306" s="1">
        <v>7221.2</v>
      </c>
      <c r="F306">
        <v>2579</v>
      </c>
      <c r="G306" s="1">
        <v>3</v>
      </c>
      <c r="H306" s="1">
        <v>20</v>
      </c>
      <c r="I306" s="3" t="str">
        <f>TEXT(financials[[#This Row],[Schedule Delivery Date]],"mmmm")</f>
        <v>January</v>
      </c>
      <c r="J306">
        <f>YEAR(financials[[#This Row],[Schedule Delivery Date]])</f>
        <v>2026</v>
      </c>
      <c r="K306" s="7">
        <v>4</v>
      </c>
      <c r="L306" s="9">
        <v>46027</v>
      </c>
      <c r="M306" s="9">
        <v>46025</v>
      </c>
    </row>
    <row r="307" spans="1:13" x14ac:dyDescent="0.25">
      <c r="A307" t="s">
        <v>8</v>
      </c>
      <c r="B307">
        <v>481</v>
      </c>
      <c r="C307" t="s">
        <v>12</v>
      </c>
      <c r="D307" s="3" t="s">
        <v>31</v>
      </c>
      <c r="E307" s="1">
        <v>15913.125</v>
      </c>
      <c r="F307">
        <v>4243.5</v>
      </c>
      <c r="G307" s="1">
        <v>3</v>
      </c>
      <c r="H307" s="1">
        <v>125</v>
      </c>
      <c r="I307" s="3" t="str">
        <f>TEXT(financials[[#This Row],[Schedule Delivery Date]],"mmmm")</f>
        <v>January</v>
      </c>
      <c r="J307">
        <f>YEAR(financials[[#This Row],[Schedule Delivery Date]])</f>
        <v>2026</v>
      </c>
      <c r="K307" s="7">
        <v>4</v>
      </c>
      <c r="L307" s="9">
        <v>46027</v>
      </c>
      <c r="M307" s="9">
        <v>46027</v>
      </c>
    </row>
    <row r="308" spans="1:13" x14ac:dyDescent="0.25">
      <c r="A308" t="s">
        <v>9</v>
      </c>
      <c r="B308">
        <v>482</v>
      </c>
      <c r="C308" t="s">
        <v>12</v>
      </c>
      <c r="D308" s="3" t="s">
        <v>35</v>
      </c>
      <c r="E308" s="1">
        <v>16086</v>
      </c>
      <c r="F308">
        <v>574.5</v>
      </c>
      <c r="G308" s="1">
        <v>250</v>
      </c>
      <c r="H308" s="1">
        <v>350</v>
      </c>
      <c r="I308" s="3" t="str">
        <f>TEXT(financials[[#This Row],[Schedule Delivery Date]],"mmmm")</f>
        <v>January</v>
      </c>
      <c r="J308">
        <f>YEAR(financials[[#This Row],[Schedule Delivery Date]])</f>
        <v>2026</v>
      </c>
      <c r="K308" s="7">
        <v>4</v>
      </c>
      <c r="L308" s="9">
        <v>46027</v>
      </c>
      <c r="M308" s="9">
        <v>46027</v>
      </c>
    </row>
    <row r="309" spans="1:13" x14ac:dyDescent="0.25">
      <c r="A309" t="s">
        <v>6</v>
      </c>
      <c r="B309">
        <v>483</v>
      </c>
      <c r="C309" t="s">
        <v>13</v>
      </c>
      <c r="D309" s="3" t="s">
        <v>33</v>
      </c>
      <c r="E309" s="1">
        <v>16974</v>
      </c>
      <c r="F309">
        <v>1414.5</v>
      </c>
      <c r="G309" s="1">
        <v>10</v>
      </c>
      <c r="H309" s="1">
        <v>300</v>
      </c>
      <c r="I309" s="3" t="str">
        <f>TEXT(financials[[#This Row],[Schedule Delivery Date]],"mmmm")</f>
        <v>January</v>
      </c>
      <c r="J309">
        <f>YEAR(financials[[#This Row],[Schedule Delivery Date]])</f>
        <v>2026</v>
      </c>
      <c r="K309" s="7">
        <v>4</v>
      </c>
      <c r="L309" s="9">
        <v>46027</v>
      </c>
      <c r="M309" s="9">
        <v>46025</v>
      </c>
    </row>
    <row r="310" spans="1:13" x14ac:dyDescent="0.25">
      <c r="A310" t="s">
        <v>9</v>
      </c>
      <c r="B310">
        <v>484</v>
      </c>
      <c r="C310" t="s">
        <v>14</v>
      </c>
      <c r="D310" s="3" t="s">
        <v>32</v>
      </c>
      <c r="E310" s="1">
        <v>20580</v>
      </c>
      <c r="F310">
        <v>980</v>
      </c>
      <c r="G310" s="1">
        <v>5</v>
      </c>
      <c r="H310" s="1">
        <v>350</v>
      </c>
      <c r="I310" s="3" t="str">
        <f>TEXT(financials[[#This Row],[Schedule Delivery Date]],"mmmm")</f>
        <v>January</v>
      </c>
      <c r="J310">
        <f>YEAR(financials[[#This Row],[Schedule Delivery Date]])</f>
        <v>2026</v>
      </c>
      <c r="K310" s="7">
        <v>4</v>
      </c>
      <c r="L310" s="9">
        <v>46027</v>
      </c>
      <c r="M310" s="9">
        <v>46025</v>
      </c>
    </row>
    <row r="311" spans="1:13" x14ac:dyDescent="0.25">
      <c r="A311" t="s">
        <v>6</v>
      </c>
      <c r="B311">
        <v>485</v>
      </c>
      <c r="C311" t="s">
        <v>14</v>
      </c>
      <c r="D311" s="3" t="s">
        <v>33</v>
      </c>
      <c r="E311" s="1">
        <v>24105</v>
      </c>
      <c r="F311">
        <v>1607</v>
      </c>
      <c r="G311" s="1">
        <v>10</v>
      </c>
      <c r="H311" s="1">
        <v>300</v>
      </c>
      <c r="I311" s="3" t="str">
        <f>TEXT(financials[[#This Row],[Schedule Delivery Date]],"mmmm")</f>
        <v>January</v>
      </c>
      <c r="J311">
        <f>YEAR(financials[[#This Row],[Schedule Delivery Date]])</f>
        <v>2026</v>
      </c>
      <c r="K311" s="7">
        <v>4</v>
      </c>
      <c r="L311" s="9">
        <v>46027</v>
      </c>
      <c r="M311" s="9">
        <v>46026</v>
      </c>
    </row>
    <row r="312" spans="1:13" x14ac:dyDescent="0.25">
      <c r="A312" t="s">
        <v>9</v>
      </c>
      <c r="B312">
        <v>486</v>
      </c>
      <c r="C312" t="s">
        <v>55</v>
      </c>
      <c r="D312" s="3" t="s">
        <v>35</v>
      </c>
      <c r="E312" s="1">
        <v>42572.25</v>
      </c>
      <c r="F312">
        <v>1351.5</v>
      </c>
      <c r="G312" s="1">
        <v>250</v>
      </c>
      <c r="H312" s="1">
        <v>350</v>
      </c>
      <c r="I312" s="3" t="str">
        <f>TEXT(financials[[#This Row],[Schedule Delivery Date]],"mmmm")</f>
        <v>January</v>
      </c>
      <c r="J312">
        <f>YEAR(financials[[#This Row],[Schedule Delivery Date]])</f>
        <v>2026</v>
      </c>
      <c r="K312" s="7">
        <v>4</v>
      </c>
      <c r="L312" s="9">
        <v>46027</v>
      </c>
      <c r="M312" s="9">
        <v>46025</v>
      </c>
    </row>
    <row r="313" spans="1:13" x14ac:dyDescent="0.25">
      <c r="A313" t="s">
        <v>8</v>
      </c>
      <c r="B313">
        <v>487</v>
      </c>
      <c r="C313" t="s">
        <v>55</v>
      </c>
      <c r="D313" s="3" t="s">
        <v>31</v>
      </c>
      <c r="E313" s="1">
        <v>43068.75</v>
      </c>
      <c r="F313">
        <v>3445.5</v>
      </c>
      <c r="G313" s="1">
        <v>3</v>
      </c>
      <c r="H313" s="1">
        <v>125</v>
      </c>
      <c r="I313" s="3" t="str">
        <f>TEXT(financials[[#This Row],[Schedule Delivery Date]],"mmmm")</f>
        <v>January</v>
      </c>
      <c r="J313">
        <f>YEAR(financials[[#This Row],[Schedule Delivery Date]])</f>
        <v>2026</v>
      </c>
      <c r="K313" s="7">
        <v>4</v>
      </c>
      <c r="L313" s="9">
        <v>46027</v>
      </c>
      <c r="M313" s="9">
        <v>46026</v>
      </c>
    </row>
    <row r="314" spans="1:13" x14ac:dyDescent="0.25">
      <c r="A314" t="s">
        <v>9</v>
      </c>
      <c r="B314">
        <v>488</v>
      </c>
      <c r="C314" t="s">
        <v>13</v>
      </c>
      <c r="D314" s="3" t="s">
        <v>32</v>
      </c>
      <c r="E314" s="1">
        <v>58751</v>
      </c>
      <c r="F314">
        <v>1199</v>
      </c>
      <c r="G314" s="1">
        <v>5</v>
      </c>
      <c r="H314" s="1">
        <v>350</v>
      </c>
      <c r="I314" s="3" t="str">
        <f>TEXT(financials[[#This Row],[Schedule Delivery Date]],"mmmm")</f>
        <v>January</v>
      </c>
      <c r="J314">
        <f>YEAR(financials[[#This Row],[Schedule Delivery Date]])</f>
        <v>2026</v>
      </c>
      <c r="K314" s="7">
        <v>4</v>
      </c>
      <c r="L314" s="9">
        <v>46027</v>
      </c>
      <c r="M314" s="9">
        <v>46025</v>
      </c>
    </row>
    <row r="315" spans="1:13" x14ac:dyDescent="0.25">
      <c r="A315" t="s">
        <v>6</v>
      </c>
      <c r="B315">
        <v>489</v>
      </c>
      <c r="C315" t="s">
        <v>12</v>
      </c>
      <c r="D315" s="3" t="s">
        <v>32</v>
      </c>
      <c r="E315" s="1">
        <v>63828</v>
      </c>
      <c r="F315">
        <v>1773</v>
      </c>
      <c r="G315" s="1">
        <v>5</v>
      </c>
      <c r="H315" s="1">
        <v>300</v>
      </c>
      <c r="I315" s="3" t="str">
        <f>TEXT(financials[[#This Row],[Schedule Delivery Date]],"mmmm")</f>
        <v>January</v>
      </c>
      <c r="J315">
        <f>YEAR(financials[[#This Row],[Schedule Delivery Date]])</f>
        <v>2026</v>
      </c>
      <c r="K315" s="7">
        <v>4</v>
      </c>
      <c r="L315" s="9">
        <v>46027</v>
      </c>
      <c r="M315" s="9">
        <v>46026</v>
      </c>
    </row>
    <row r="316" spans="1:13" x14ac:dyDescent="0.25">
      <c r="A316" t="s">
        <v>6</v>
      </c>
      <c r="B316">
        <v>490</v>
      </c>
      <c r="C316" t="s">
        <v>11</v>
      </c>
      <c r="D316" s="3" t="s">
        <v>32</v>
      </c>
      <c r="E316" s="1">
        <v>102667.5</v>
      </c>
      <c r="F316">
        <v>3802.5</v>
      </c>
      <c r="G316" s="1">
        <v>5</v>
      </c>
      <c r="H316" s="1">
        <v>300</v>
      </c>
      <c r="I316" s="3" t="str">
        <f>TEXT(financials[[#This Row],[Schedule Delivery Date]],"mmmm")</f>
        <v>January</v>
      </c>
      <c r="J316">
        <f>YEAR(financials[[#This Row],[Schedule Delivery Date]])</f>
        <v>2026</v>
      </c>
      <c r="K316" s="7">
        <v>4</v>
      </c>
      <c r="L316" s="9">
        <v>46027</v>
      </c>
      <c r="M316" s="9">
        <v>46025</v>
      </c>
    </row>
    <row r="317" spans="1:13" x14ac:dyDescent="0.25">
      <c r="A317" t="s">
        <v>9</v>
      </c>
      <c r="B317">
        <v>491</v>
      </c>
      <c r="C317" t="s">
        <v>14</v>
      </c>
      <c r="D317" s="3" t="s">
        <v>34</v>
      </c>
      <c r="E317" s="1">
        <v>25.34</v>
      </c>
      <c r="F317">
        <v>362</v>
      </c>
      <c r="G317" s="1">
        <v>120</v>
      </c>
      <c r="H317" s="1">
        <v>7</v>
      </c>
      <c r="I317" s="3" t="str">
        <f>TEXT(financials[[#This Row],[Schedule Delivery Date]],"mmmm")</f>
        <v>January</v>
      </c>
      <c r="J317">
        <f>YEAR(financials[[#This Row],[Schedule Delivery Date]])</f>
        <v>2026</v>
      </c>
      <c r="K317" s="7">
        <v>5</v>
      </c>
      <c r="L317" s="9">
        <v>46027</v>
      </c>
      <c r="M317" s="9">
        <v>46025</v>
      </c>
    </row>
    <row r="318" spans="1:13" x14ac:dyDescent="0.25">
      <c r="A318" t="s">
        <v>9</v>
      </c>
      <c r="B318">
        <v>492</v>
      </c>
      <c r="C318" t="s">
        <v>12</v>
      </c>
      <c r="D318" s="3" t="s">
        <v>33</v>
      </c>
      <c r="E318" s="1">
        <v>72.099999999999994</v>
      </c>
      <c r="F318">
        <v>1030</v>
      </c>
      <c r="G318" s="1">
        <v>10</v>
      </c>
      <c r="H318" s="1">
        <v>7</v>
      </c>
      <c r="I318" s="3" t="str">
        <f>TEXT(financials[[#This Row],[Schedule Delivery Date]],"mmmm")</f>
        <v>January</v>
      </c>
      <c r="J318">
        <f>YEAR(financials[[#This Row],[Schedule Delivery Date]])</f>
        <v>2026</v>
      </c>
      <c r="K318" s="7">
        <v>5</v>
      </c>
      <c r="L318" s="9">
        <v>46027</v>
      </c>
      <c r="M318" s="9">
        <v>46028</v>
      </c>
    </row>
    <row r="319" spans="1:13" x14ac:dyDescent="0.25">
      <c r="A319" t="s">
        <v>9</v>
      </c>
      <c r="B319">
        <v>493</v>
      </c>
      <c r="C319" t="s">
        <v>11</v>
      </c>
      <c r="D319" s="3" t="s">
        <v>33</v>
      </c>
      <c r="E319" s="1">
        <v>143.91999999999999</v>
      </c>
      <c r="F319">
        <v>257</v>
      </c>
      <c r="G319" s="1">
        <v>10</v>
      </c>
      <c r="H319" s="1">
        <v>7</v>
      </c>
      <c r="I319" s="3" t="str">
        <f>TEXT(financials[[#This Row],[Schedule Delivery Date]],"mmmm")</f>
        <v>January</v>
      </c>
      <c r="J319">
        <f>YEAR(financials[[#This Row],[Schedule Delivery Date]])</f>
        <v>2026</v>
      </c>
      <c r="K319" s="7">
        <v>5</v>
      </c>
      <c r="L319" s="9">
        <v>46027</v>
      </c>
      <c r="M319" s="9">
        <v>46028</v>
      </c>
    </row>
    <row r="320" spans="1:13" x14ac:dyDescent="0.25">
      <c r="A320" t="s">
        <v>7</v>
      </c>
      <c r="B320">
        <v>494</v>
      </c>
      <c r="C320" t="s">
        <v>14</v>
      </c>
      <c r="D320" s="3" t="s">
        <v>34</v>
      </c>
      <c r="E320" s="1">
        <v>330.75</v>
      </c>
      <c r="F320">
        <v>245</v>
      </c>
      <c r="G320" s="1">
        <v>120</v>
      </c>
      <c r="H320" s="1">
        <v>15</v>
      </c>
      <c r="I320" s="3" t="str">
        <f>TEXT(financials[[#This Row],[Schedule Delivery Date]],"mmmm")</f>
        <v>January</v>
      </c>
      <c r="J320">
        <f>YEAR(financials[[#This Row],[Schedule Delivery Date]])</f>
        <v>2026</v>
      </c>
      <c r="K320" s="7">
        <v>5</v>
      </c>
      <c r="L320" s="9">
        <v>46027</v>
      </c>
      <c r="M320" s="9">
        <v>46026</v>
      </c>
    </row>
    <row r="321" spans="1:13" x14ac:dyDescent="0.25">
      <c r="A321" t="s">
        <v>10</v>
      </c>
      <c r="B321">
        <v>495</v>
      </c>
      <c r="C321" t="s">
        <v>12</v>
      </c>
      <c r="D321" s="3" t="s">
        <v>35</v>
      </c>
      <c r="E321" s="1">
        <v>415.68</v>
      </c>
      <c r="F321">
        <v>866</v>
      </c>
      <c r="G321" s="1">
        <v>250</v>
      </c>
      <c r="H321" s="1">
        <v>12</v>
      </c>
      <c r="I321" s="3" t="str">
        <f>TEXT(financials[[#This Row],[Schedule Delivery Date]],"mmmm")</f>
        <v>January</v>
      </c>
      <c r="J321">
        <f>YEAR(financials[[#This Row],[Schedule Delivery Date]])</f>
        <v>2026</v>
      </c>
      <c r="K321" s="7">
        <v>5</v>
      </c>
      <c r="L321" s="9">
        <v>46027</v>
      </c>
      <c r="M321" s="9">
        <v>46025</v>
      </c>
    </row>
    <row r="322" spans="1:13" x14ac:dyDescent="0.25">
      <c r="A322" t="s">
        <v>9</v>
      </c>
      <c r="B322">
        <v>496</v>
      </c>
      <c r="C322" t="s">
        <v>11</v>
      </c>
      <c r="D322" s="3" t="s">
        <v>31</v>
      </c>
      <c r="E322" s="1">
        <v>498.6</v>
      </c>
      <c r="F322">
        <v>831</v>
      </c>
      <c r="G322" s="1">
        <v>3</v>
      </c>
      <c r="H322" s="1">
        <v>20</v>
      </c>
      <c r="I322" s="3" t="str">
        <f>TEXT(financials[[#This Row],[Schedule Delivery Date]],"mmmm")</f>
        <v>January</v>
      </c>
      <c r="J322">
        <f>YEAR(financials[[#This Row],[Schedule Delivery Date]])</f>
        <v>2026</v>
      </c>
      <c r="K322" s="7">
        <v>5</v>
      </c>
      <c r="L322" s="9">
        <v>46027</v>
      </c>
      <c r="M322" s="9">
        <v>46026</v>
      </c>
    </row>
    <row r="323" spans="1:13" x14ac:dyDescent="0.25">
      <c r="A323" t="s">
        <v>9</v>
      </c>
      <c r="B323">
        <v>497</v>
      </c>
      <c r="C323" t="s">
        <v>13</v>
      </c>
      <c r="D323" s="3" t="s">
        <v>33</v>
      </c>
      <c r="E323" s="1">
        <v>613.20000000000005</v>
      </c>
      <c r="F323">
        <v>1095</v>
      </c>
      <c r="G323" s="1">
        <v>10</v>
      </c>
      <c r="H323" s="1">
        <v>7</v>
      </c>
      <c r="I323" s="3" t="str">
        <f>TEXT(financials[[#This Row],[Schedule Delivery Date]],"mmmm")</f>
        <v>January</v>
      </c>
      <c r="J323">
        <f>YEAR(financials[[#This Row],[Schedule Delivery Date]])</f>
        <v>2026</v>
      </c>
      <c r="K323" s="7">
        <v>5</v>
      </c>
      <c r="L323" s="9">
        <v>46027</v>
      </c>
      <c r="M323" s="9">
        <v>46028</v>
      </c>
    </row>
    <row r="324" spans="1:13" x14ac:dyDescent="0.25">
      <c r="A324" t="s">
        <v>9</v>
      </c>
      <c r="B324">
        <v>498</v>
      </c>
      <c r="C324" t="s">
        <v>55</v>
      </c>
      <c r="D324" s="3" t="s">
        <v>33</v>
      </c>
      <c r="E324" s="1">
        <v>814.45</v>
      </c>
      <c r="F324">
        <v>2327</v>
      </c>
      <c r="G324" s="1">
        <v>10</v>
      </c>
      <c r="H324" s="1">
        <v>7</v>
      </c>
      <c r="I324" s="3" t="str">
        <f>TEXT(financials[[#This Row],[Schedule Delivery Date]],"mmmm")</f>
        <v>January</v>
      </c>
      <c r="J324">
        <f>YEAR(financials[[#This Row],[Schedule Delivery Date]])</f>
        <v>2026</v>
      </c>
      <c r="K324" s="7">
        <v>5</v>
      </c>
      <c r="L324" s="9">
        <v>46027</v>
      </c>
      <c r="M324" s="9">
        <v>46025</v>
      </c>
    </row>
    <row r="325" spans="1:13" x14ac:dyDescent="0.25">
      <c r="A325" t="s">
        <v>10</v>
      </c>
      <c r="B325">
        <v>499</v>
      </c>
      <c r="C325" t="s">
        <v>13</v>
      </c>
      <c r="D325" s="3" t="s">
        <v>35</v>
      </c>
      <c r="E325" s="1">
        <v>950.4</v>
      </c>
      <c r="F325">
        <v>880</v>
      </c>
      <c r="G325" s="1">
        <v>250</v>
      </c>
      <c r="H325" s="1">
        <v>12</v>
      </c>
      <c r="I325" s="3" t="str">
        <f>TEXT(financials[[#This Row],[Schedule Delivery Date]],"mmmm")</f>
        <v>January</v>
      </c>
      <c r="J325">
        <f>YEAR(financials[[#This Row],[Schedule Delivery Date]])</f>
        <v>2026</v>
      </c>
      <c r="K325" s="7">
        <v>5</v>
      </c>
      <c r="L325" s="9">
        <v>46027</v>
      </c>
      <c r="M325" s="9">
        <v>46026</v>
      </c>
    </row>
    <row r="326" spans="1:13" x14ac:dyDescent="0.25">
      <c r="A326" t="s">
        <v>7</v>
      </c>
      <c r="B326">
        <v>500</v>
      </c>
      <c r="C326" t="s">
        <v>55</v>
      </c>
      <c r="D326" s="3" t="s">
        <v>34</v>
      </c>
      <c r="E326" s="1">
        <v>1185</v>
      </c>
      <c r="F326">
        <v>790</v>
      </c>
      <c r="G326" s="1">
        <v>120</v>
      </c>
      <c r="H326" s="1">
        <v>15</v>
      </c>
      <c r="I326" s="3" t="str">
        <f>TEXT(financials[[#This Row],[Schedule Delivery Date]],"mmmm")</f>
        <v>January</v>
      </c>
      <c r="J326">
        <f>YEAR(financials[[#This Row],[Schedule Delivery Date]])</f>
        <v>2026</v>
      </c>
      <c r="K326" s="7">
        <v>5</v>
      </c>
      <c r="L326" s="9">
        <v>46027</v>
      </c>
      <c r="M326" s="9">
        <v>46026</v>
      </c>
    </row>
    <row r="327" spans="1:13" x14ac:dyDescent="0.25">
      <c r="A327" t="s">
        <v>9</v>
      </c>
      <c r="B327">
        <v>501</v>
      </c>
      <c r="C327" t="s">
        <v>13</v>
      </c>
      <c r="D327" s="3" t="s">
        <v>31</v>
      </c>
      <c r="E327" s="1">
        <v>1193.4000000000001</v>
      </c>
      <c r="F327">
        <v>663</v>
      </c>
      <c r="G327" s="1">
        <v>3</v>
      </c>
      <c r="H327" s="1">
        <v>20</v>
      </c>
      <c r="I327" s="3" t="str">
        <f>TEXT(financials[[#This Row],[Schedule Delivery Date]],"mmmm")</f>
        <v>January</v>
      </c>
      <c r="J327">
        <f>YEAR(financials[[#This Row],[Schedule Delivery Date]])</f>
        <v>2026</v>
      </c>
      <c r="K327" s="7">
        <v>5</v>
      </c>
      <c r="L327" s="9">
        <v>46027</v>
      </c>
      <c r="M327" s="9">
        <v>46027</v>
      </c>
    </row>
    <row r="328" spans="1:13" x14ac:dyDescent="0.25">
      <c r="A328" t="s">
        <v>7</v>
      </c>
      <c r="B328">
        <v>502</v>
      </c>
      <c r="C328" t="s">
        <v>11</v>
      </c>
      <c r="D328" s="3" t="s">
        <v>34</v>
      </c>
      <c r="E328" s="1">
        <v>1325.1</v>
      </c>
      <c r="F328">
        <v>1262</v>
      </c>
      <c r="G328" s="1">
        <v>120</v>
      </c>
      <c r="H328" s="1">
        <v>15</v>
      </c>
      <c r="I328" s="3" t="str">
        <f>TEXT(financials[[#This Row],[Schedule Delivery Date]],"mmmm")</f>
        <v>January</v>
      </c>
      <c r="J328">
        <f>YEAR(financials[[#This Row],[Schedule Delivery Date]])</f>
        <v>2026</v>
      </c>
      <c r="K328" s="7">
        <v>5</v>
      </c>
      <c r="L328" s="9">
        <v>46027</v>
      </c>
      <c r="M328" s="9">
        <v>46026</v>
      </c>
    </row>
    <row r="329" spans="1:13" x14ac:dyDescent="0.25">
      <c r="A329" t="s">
        <v>7</v>
      </c>
      <c r="B329">
        <v>503</v>
      </c>
      <c r="C329" t="s">
        <v>13</v>
      </c>
      <c r="D329" s="3" t="s">
        <v>34</v>
      </c>
      <c r="E329" s="1">
        <v>1377</v>
      </c>
      <c r="F329">
        <v>1530</v>
      </c>
      <c r="G329" s="1">
        <v>120</v>
      </c>
      <c r="H329" s="1">
        <v>15</v>
      </c>
      <c r="I329" s="3" t="str">
        <f>TEXT(financials[[#This Row],[Schedule Delivery Date]],"mmmm")</f>
        <v>January</v>
      </c>
      <c r="J329">
        <f>YEAR(financials[[#This Row],[Schedule Delivery Date]])</f>
        <v>2026</v>
      </c>
      <c r="K329" s="7">
        <v>5</v>
      </c>
      <c r="L329" s="9">
        <v>46034</v>
      </c>
      <c r="M329" s="9">
        <v>46030</v>
      </c>
    </row>
    <row r="330" spans="1:13" x14ac:dyDescent="0.25">
      <c r="A330" t="s">
        <v>9</v>
      </c>
      <c r="B330">
        <v>504</v>
      </c>
      <c r="C330" t="s">
        <v>12</v>
      </c>
      <c r="D330" s="3" t="s">
        <v>31</v>
      </c>
      <c r="E330" s="1">
        <v>1563</v>
      </c>
      <c r="F330">
        <v>1563</v>
      </c>
      <c r="G330" s="1">
        <v>3</v>
      </c>
      <c r="H330" s="1">
        <v>20</v>
      </c>
      <c r="I330" s="3" t="str">
        <f>TEXT(financials[[#This Row],[Schedule Delivery Date]],"mmmm")</f>
        <v>January</v>
      </c>
      <c r="J330">
        <f>YEAR(financials[[#This Row],[Schedule Delivery Date]])</f>
        <v>2026</v>
      </c>
      <c r="K330" s="7">
        <v>5</v>
      </c>
      <c r="L330" s="9">
        <v>46027</v>
      </c>
      <c r="M330" s="9">
        <v>46031</v>
      </c>
    </row>
    <row r="331" spans="1:13" x14ac:dyDescent="0.25">
      <c r="A331" t="s">
        <v>10</v>
      </c>
      <c r="B331">
        <v>505</v>
      </c>
      <c r="C331" t="s">
        <v>11</v>
      </c>
      <c r="D331" s="3" t="s">
        <v>35</v>
      </c>
      <c r="E331" s="1">
        <v>3036.96</v>
      </c>
      <c r="F331">
        <v>2109</v>
      </c>
      <c r="G331" s="1">
        <v>250</v>
      </c>
      <c r="H331" s="1">
        <v>12</v>
      </c>
      <c r="I331" s="3" t="str">
        <f>TEXT(financials[[#This Row],[Schedule Delivery Date]],"mmmm")</f>
        <v>January</v>
      </c>
      <c r="J331">
        <f>YEAR(financials[[#This Row],[Schedule Delivery Date]])</f>
        <v>2026</v>
      </c>
      <c r="K331" s="7">
        <v>5</v>
      </c>
      <c r="L331" s="9">
        <v>46027</v>
      </c>
      <c r="M331" s="9">
        <v>46032</v>
      </c>
    </row>
    <row r="332" spans="1:13" x14ac:dyDescent="0.25">
      <c r="A332" t="s">
        <v>10</v>
      </c>
      <c r="B332">
        <v>506</v>
      </c>
      <c r="C332" t="s">
        <v>55</v>
      </c>
      <c r="D332" s="3" t="s">
        <v>35</v>
      </c>
      <c r="E332" s="1">
        <v>3250.8</v>
      </c>
      <c r="F332">
        <v>1806</v>
      </c>
      <c r="G332" s="1">
        <v>250</v>
      </c>
      <c r="H332" s="1">
        <v>12</v>
      </c>
      <c r="I332" s="3" t="str">
        <f>TEXT(financials[[#This Row],[Schedule Delivery Date]],"mmmm")</f>
        <v>January</v>
      </c>
      <c r="J332">
        <f>YEAR(financials[[#This Row],[Schedule Delivery Date]])</f>
        <v>2026</v>
      </c>
      <c r="K332" s="7">
        <v>5</v>
      </c>
      <c r="L332" s="9">
        <v>46027</v>
      </c>
      <c r="M332" s="9">
        <v>46027</v>
      </c>
    </row>
    <row r="333" spans="1:13" x14ac:dyDescent="0.25">
      <c r="A333" t="s">
        <v>10</v>
      </c>
      <c r="B333">
        <v>507</v>
      </c>
      <c r="C333" t="s">
        <v>14</v>
      </c>
      <c r="D333" s="3" t="s">
        <v>32</v>
      </c>
      <c r="E333" s="1">
        <v>3831.84</v>
      </c>
      <c r="F333">
        <v>2661</v>
      </c>
      <c r="G333" s="1">
        <v>5</v>
      </c>
      <c r="H333" s="1">
        <v>12</v>
      </c>
      <c r="I333" s="3" t="str">
        <f>TEXT(financials[[#This Row],[Schedule Delivery Date]],"mmmm")</f>
        <v>January</v>
      </c>
      <c r="J333">
        <f>YEAR(financials[[#This Row],[Schedule Delivery Date]])</f>
        <v>2026</v>
      </c>
      <c r="K333" s="7">
        <v>5</v>
      </c>
      <c r="L333" s="9">
        <v>46027</v>
      </c>
      <c r="M333" s="9">
        <v>46027</v>
      </c>
    </row>
    <row r="334" spans="1:13" x14ac:dyDescent="0.25">
      <c r="A334" t="s">
        <v>9</v>
      </c>
      <c r="B334">
        <v>508</v>
      </c>
      <c r="C334" t="s">
        <v>14</v>
      </c>
      <c r="D334" s="3" t="s">
        <v>36</v>
      </c>
      <c r="E334" s="1">
        <v>4078</v>
      </c>
      <c r="F334">
        <v>2039</v>
      </c>
      <c r="G334" s="1">
        <v>260</v>
      </c>
      <c r="H334" s="1">
        <v>20</v>
      </c>
      <c r="I334" s="3" t="str">
        <f>TEXT(financials[[#This Row],[Schedule Delivery Date]],"mmmm")</f>
        <v>January</v>
      </c>
      <c r="J334">
        <f>YEAR(financials[[#This Row],[Schedule Delivery Date]])</f>
        <v>2026</v>
      </c>
      <c r="K334" s="7">
        <v>5</v>
      </c>
      <c r="L334" s="9">
        <v>46027</v>
      </c>
      <c r="M334" s="9">
        <v>46033</v>
      </c>
    </row>
    <row r="335" spans="1:13" x14ac:dyDescent="0.25">
      <c r="A335" t="s">
        <v>8</v>
      </c>
      <c r="B335">
        <v>509</v>
      </c>
      <c r="C335" t="s">
        <v>14</v>
      </c>
      <c r="D335" s="3" t="s">
        <v>35</v>
      </c>
      <c r="E335" s="1">
        <v>4262.5</v>
      </c>
      <c r="F335">
        <v>341</v>
      </c>
      <c r="G335" s="1">
        <v>250</v>
      </c>
      <c r="H335" s="1">
        <v>125</v>
      </c>
      <c r="I335" s="3" t="str">
        <f>TEXT(financials[[#This Row],[Schedule Delivery Date]],"mmmm")</f>
        <v>January</v>
      </c>
      <c r="J335">
        <f>YEAR(financials[[#This Row],[Schedule Delivery Date]])</f>
        <v>2026</v>
      </c>
      <c r="K335" s="7">
        <v>5</v>
      </c>
      <c r="L335" s="9">
        <v>46027</v>
      </c>
      <c r="M335" s="9">
        <v>46034</v>
      </c>
    </row>
    <row r="336" spans="1:13" x14ac:dyDescent="0.25">
      <c r="A336" t="s">
        <v>9</v>
      </c>
      <c r="B336">
        <v>510</v>
      </c>
      <c r="C336" t="s">
        <v>55</v>
      </c>
      <c r="D336" s="3" t="s">
        <v>31</v>
      </c>
      <c r="E336" s="1">
        <v>4880.3999999999996</v>
      </c>
      <c r="F336">
        <v>1743</v>
      </c>
      <c r="G336" s="1">
        <v>3</v>
      </c>
      <c r="H336" s="1">
        <v>20</v>
      </c>
      <c r="I336" s="3" t="str">
        <f>TEXT(financials[[#This Row],[Schedule Delivery Date]],"mmmm")</f>
        <v>January</v>
      </c>
      <c r="J336">
        <f>YEAR(financials[[#This Row],[Schedule Delivery Date]])</f>
        <v>2026</v>
      </c>
      <c r="K336" s="7">
        <v>5</v>
      </c>
      <c r="L336" s="9">
        <v>46027</v>
      </c>
      <c r="M336" s="9">
        <v>46028</v>
      </c>
    </row>
    <row r="337" spans="1:13" x14ac:dyDescent="0.25">
      <c r="A337" t="s">
        <v>6</v>
      </c>
      <c r="B337">
        <v>511</v>
      </c>
      <c r="C337" t="s">
        <v>12</v>
      </c>
      <c r="D337" s="3" t="s">
        <v>33</v>
      </c>
      <c r="E337" s="1">
        <v>5508</v>
      </c>
      <c r="F337">
        <v>918</v>
      </c>
      <c r="G337" s="1">
        <v>10</v>
      </c>
      <c r="H337" s="1">
        <v>300</v>
      </c>
      <c r="I337" s="3" t="str">
        <f>TEXT(financials[[#This Row],[Schedule Delivery Date]],"mmmm")</f>
        <v>January</v>
      </c>
      <c r="J337">
        <f>YEAR(financials[[#This Row],[Schedule Delivery Date]])</f>
        <v>2026</v>
      </c>
      <c r="K337" s="7">
        <v>5</v>
      </c>
      <c r="L337" s="9">
        <v>46027</v>
      </c>
      <c r="M337" s="9">
        <v>46029</v>
      </c>
    </row>
    <row r="338" spans="1:13" x14ac:dyDescent="0.25">
      <c r="A338" t="s">
        <v>8</v>
      </c>
      <c r="B338">
        <v>512</v>
      </c>
      <c r="C338" t="s">
        <v>13</v>
      </c>
      <c r="D338" s="3" t="s">
        <v>36</v>
      </c>
      <c r="E338" s="1">
        <v>5690</v>
      </c>
      <c r="F338">
        <v>2276</v>
      </c>
      <c r="G338" s="1">
        <v>260</v>
      </c>
      <c r="H338" s="1">
        <v>125</v>
      </c>
      <c r="I338" s="3" t="str">
        <f>TEXT(financials[[#This Row],[Schedule Delivery Date]],"mmmm")</f>
        <v>January</v>
      </c>
      <c r="J338">
        <f>YEAR(financials[[#This Row],[Schedule Delivery Date]])</f>
        <v>2026</v>
      </c>
      <c r="K338" s="7">
        <v>5</v>
      </c>
      <c r="L338" s="9">
        <v>46027</v>
      </c>
      <c r="M338" s="9">
        <v>46033</v>
      </c>
    </row>
    <row r="339" spans="1:13" x14ac:dyDescent="0.25">
      <c r="A339" t="s">
        <v>7</v>
      </c>
      <c r="B339">
        <v>513</v>
      </c>
      <c r="C339" t="s">
        <v>12</v>
      </c>
      <c r="D339" s="3" t="s">
        <v>34</v>
      </c>
      <c r="E339" s="1">
        <v>6358.5</v>
      </c>
      <c r="F339">
        <v>2826</v>
      </c>
      <c r="G339" s="1">
        <v>120</v>
      </c>
      <c r="H339" s="1">
        <v>15</v>
      </c>
      <c r="I339" s="3" t="str">
        <f>TEXT(financials[[#This Row],[Schedule Delivery Date]],"mmmm")</f>
        <v>January</v>
      </c>
      <c r="J339">
        <f>YEAR(financials[[#This Row],[Schedule Delivery Date]])</f>
        <v>2026</v>
      </c>
      <c r="K339" s="7">
        <v>5</v>
      </c>
      <c r="L339" s="9">
        <v>46027</v>
      </c>
      <c r="M339" s="9">
        <v>46033</v>
      </c>
    </row>
    <row r="340" spans="1:13" x14ac:dyDescent="0.25">
      <c r="A340" t="s">
        <v>9</v>
      </c>
      <c r="B340">
        <v>514</v>
      </c>
      <c r="C340" t="s">
        <v>11</v>
      </c>
      <c r="D340" s="3" t="s">
        <v>32</v>
      </c>
      <c r="E340" s="1">
        <v>9800</v>
      </c>
      <c r="F340">
        <v>200</v>
      </c>
      <c r="G340" s="1">
        <v>5</v>
      </c>
      <c r="H340" s="1">
        <v>350</v>
      </c>
      <c r="I340" s="3" t="str">
        <f>TEXT(financials[[#This Row],[Schedule Delivery Date]],"mmmm")</f>
        <v>January</v>
      </c>
      <c r="J340">
        <f>YEAR(financials[[#This Row],[Schedule Delivery Date]])</f>
        <v>2026</v>
      </c>
      <c r="K340" s="7">
        <v>5</v>
      </c>
      <c r="L340" s="9">
        <v>46027</v>
      </c>
      <c r="M340" s="9">
        <v>46033</v>
      </c>
    </row>
    <row r="341" spans="1:13" x14ac:dyDescent="0.25">
      <c r="A341" t="s">
        <v>6</v>
      </c>
      <c r="B341">
        <v>515</v>
      </c>
      <c r="C341" t="s">
        <v>13</v>
      </c>
      <c r="D341" s="3" t="s">
        <v>33</v>
      </c>
      <c r="E341" s="1">
        <v>10368</v>
      </c>
      <c r="F341">
        <v>1728</v>
      </c>
      <c r="G341" s="1">
        <v>10</v>
      </c>
      <c r="H341" s="1">
        <v>300</v>
      </c>
      <c r="I341" s="3" t="str">
        <f>TEXT(financials[[#This Row],[Schedule Delivery Date]],"mmmm")</f>
        <v>January</v>
      </c>
      <c r="J341">
        <f>YEAR(financials[[#This Row],[Schedule Delivery Date]])</f>
        <v>2026</v>
      </c>
      <c r="K341" s="7">
        <v>5</v>
      </c>
      <c r="L341" s="9">
        <v>46027</v>
      </c>
      <c r="M341" s="9">
        <v>46032</v>
      </c>
    </row>
    <row r="342" spans="1:13" x14ac:dyDescent="0.25">
      <c r="A342" t="s">
        <v>8</v>
      </c>
      <c r="B342">
        <v>516</v>
      </c>
      <c r="C342" t="s">
        <v>11</v>
      </c>
      <c r="D342" s="3" t="s">
        <v>36</v>
      </c>
      <c r="E342" s="1">
        <v>14393.75</v>
      </c>
      <c r="F342">
        <v>1645</v>
      </c>
      <c r="G342" s="1">
        <v>260</v>
      </c>
      <c r="H342" s="1">
        <v>125</v>
      </c>
      <c r="I342" s="3" t="str">
        <f>TEXT(financials[[#This Row],[Schedule Delivery Date]],"mmmm")</f>
        <v>January</v>
      </c>
      <c r="J342">
        <f>YEAR(financials[[#This Row],[Schedule Delivery Date]])</f>
        <v>2026</v>
      </c>
      <c r="K342" s="7">
        <v>5</v>
      </c>
      <c r="L342" s="9">
        <v>46027</v>
      </c>
      <c r="M342" s="9">
        <v>46026</v>
      </c>
    </row>
    <row r="343" spans="1:13" x14ac:dyDescent="0.25">
      <c r="A343" t="s">
        <v>6</v>
      </c>
      <c r="B343">
        <v>517</v>
      </c>
      <c r="C343" t="s">
        <v>14</v>
      </c>
      <c r="D343" s="3" t="s">
        <v>33</v>
      </c>
      <c r="E343" s="1">
        <v>17730</v>
      </c>
      <c r="F343">
        <v>591</v>
      </c>
      <c r="G343" s="1">
        <v>10</v>
      </c>
      <c r="H343" s="1">
        <v>300</v>
      </c>
      <c r="I343" s="3" t="str">
        <f>TEXT(financials[[#This Row],[Schedule Delivery Date]],"mmmm")</f>
        <v>January</v>
      </c>
      <c r="J343">
        <f>YEAR(financials[[#This Row],[Schedule Delivery Date]])</f>
        <v>2026</v>
      </c>
      <c r="K343" s="7">
        <v>5</v>
      </c>
      <c r="L343" s="9">
        <v>46027</v>
      </c>
      <c r="M343" s="9">
        <v>46027</v>
      </c>
    </row>
    <row r="344" spans="1:13" x14ac:dyDescent="0.25">
      <c r="A344" t="s">
        <v>8</v>
      </c>
      <c r="B344">
        <v>518</v>
      </c>
      <c r="C344" t="s">
        <v>12</v>
      </c>
      <c r="D344" s="3" t="s">
        <v>36</v>
      </c>
      <c r="E344" s="1">
        <v>19703.75</v>
      </c>
      <c r="F344">
        <v>1433</v>
      </c>
      <c r="G344" s="1">
        <v>260</v>
      </c>
      <c r="H344" s="1">
        <v>125</v>
      </c>
      <c r="I344" s="3" t="str">
        <f>TEXT(financials[[#This Row],[Schedule Delivery Date]],"mmmm")</f>
        <v>January</v>
      </c>
      <c r="J344">
        <f>YEAR(financials[[#This Row],[Schedule Delivery Date]])</f>
        <v>2026</v>
      </c>
      <c r="K344" s="7">
        <v>5</v>
      </c>
      <c r="L344" s="9">
        <v>46027</v>
      </c>
      <c r="M344" s="9">
        <v>46025</v>
      </c>
    </row>
    <row r="345" spans="1:13" x14ac:dyDescent="0.25">
      <c r="A345" t="s">
        <v>9</v>
      </c>
      <c r="B345">
        <v>519</v>
      </c>
      <c r="C345" t="s">
        <v>13</v>
      </c>
      <c r="D345" s="3" t="s">
        <v>32</v>
      </c>
      <c r="E345" s="1">
        <v>30660</v>
      </c>
      <c r="F345">
        <v>1460</v>
      </c>
      <c r="G345" s="1">
        <v>5</v>
      </c>
      <c r="H345" s="1">
        <v>350</v>
      </c>
      <c r="I345" s="3" t="str">
        <f>TEXT(financials[[#This Row],[Schedule Delivery Date]],"mmmm")</f>
        <v>January</v>
      </c>
      <c r="J345">
        <f>YEAR(financials[[#This Row],[Schedule Delivery Date]])</f>
        <v>2026</v>
      </c>
      <c r="K345" s="7">
        <v>5</v>
      </c>
      <c r="L345" s="9">
        <v>46027</v>
      </c>
      <c r="M345" s="9">
        <v>46025</v>
      </c>
    </row>
    <row r="346" spans="1:13" x14ac:dyDescent="0.25">
      <c r="A346" t="s">
        <v>6</v>
      </c>
      <c r="B346">
        <v>520</v>
      </c>
      <c r="C346" t="s">
        <v>55</v>
      </c>
      <c r="D346" s="3" t="s">
        <v>33</v>
      </c>
      <c r="E346" s="1">
        <v>35016</v>
      </c>
      <c r="F346">
        <v>2918</v>
      </c>
      <c r="G346" s="1">
        <v>10</v>
      </c>
      <c r="H346" s="1">
        <v>300</v>
      </c>
      <c r="I346" s="3" t="str">
        <f>TEXT(financials[[#This Row],[Schedule Delivery Date]],"mmmm")</f>
        <v>January</v>
      </c>
      <c r="J346">
        <f>YEAR(financials[[#This Row],[Schedule Delivery Date]])</f>
        <v>2026</v>
      </c>
      <c r="K346" s="7">
        <v>5</v>
      </c>
      <c r="L346" s="9">
        <v>46027</v>
      </c>
      <c r="M346" s="9">
        <v>46024</v>
      </c>
    </row>
    <row r="347" spans="1:13" x14ac:dyDescent="0.25">
      <c r="A347" t="s">
        <v>6</v>
      </c>
      <c r="B347">
        <v>521</v>
      </c>
      <c r="C347" t="s">
        <v>11</v>
      </c>
      <c r="D347" s="3" t="s">
        <v>33</v>
      </c>
      <c r="E347" s="1">
        <v>35742</v>
      </c>
      <c r="F347">
        <v>1702</v>
      </c>
      <c r="G347" s="1">
        <v>10</v>
      </c>
      <c r="H347" s="1">
        <v>300</v>
      </c>
      <c r="I347" s="3" t="str">
        <f>TEXT(financials[[#This Row],[Schedule Delivery Date]],"mmmm")</f>
        <v>January</v>
      </c>
      <c r="J347">
        <f>YEAR(financials[[#This Row],[Schedule Delivery Date]])</f>
        <v>2026</v>
      </c>
      <c r="K347" s="7">
        <v>5</v>
      </c>
      <c r="L347" s="9">
        <v>46027</v>
      </c>
      <c r="M347" s="9">
        <v>46026</v>
      </c>
    </row>
    <row r="348" spans="1:13" x14ac:dyDescent="0.25">
      <c r="A348" t="s">
        <v>8</v>
      </c>
      <c r="B348">
        <v>522</v>
      </c>
      <c r="C348" t="s">
        <v>55</v>
      </c>
      <c r="D348" s="3" t="s">
        <v>36</v>
      </c>
      <c r="E348" s="1">
        <v>49770</v>
      </c>
      <c r="F348">
        <v>2844</v>
      </c>
      <c r="G348" s="1">
        <v>260</v>
      </c>
      <c r="H348" s="1">
        <v>125</v>
      </c>
      <c r="I348" s="3" t="str">
        <f>TEXT(financials[[#This Row],[Schedule Delivery Date]],"mmmm")</f>
        <v>January</v>
      </c>
      <c r="J348">
        <f>YEAR(financials[[#This Row],[Schedule Delivery Date]])</f>
        <v>2026</v>
      </c>
      <c r="K348" s="7">
        <v>5</v>
      </c>
      <c r="L348" s="9">
        <v>46027</v>
      </c>
      <c r="M348" s="9">
        <v>46026</v>
      </c>
    </row>
    <row r="349" spans="1:13" x14ac:dyDescent="0.25">
      <c r="A349" t="s">
        <v>9</v>
      </c>
      <c r="B349">
        <v>523</v>
      </c>
      <c r="C349" t="s">
        <v>12</v>
      </c>
      <c r="D349" s="3" t="s">
        <v>32</v>
      </c>
      <c r="E349" s="1">
        <v>52479</v>
      </c>
      <c r="F349">
        <v>1666</v>
      </c>
      <c r="G349" s="1">
        <v>5</v>
      </c>
      <c r="H349" s="1">
        <v>350</v>
      </c>
      <c r="I349" s="3" t="str">
        <f>TEXT(financials[[#This Row],[Schedule Delivery Date]],"mmmm")</f>
        <v>January</v>
      </c>
      <c r="J349">
        <f>YEAR(financials[[#This Row],[Schedule Delivery Date]])</f>
        <v>2026</v>
      </c>
      <c r="K349" s="7">
        <v>5</v>
      </c>
      <c r="L349" s="9">
        <v>46027</v>
      </c>
      <c r="M349" s="9">
        <v>46027</v>
      </c>
    </row>
    <row r="350" spans="1:13" x14ac:dyDescent="0.25">
      <c r="A350" t="s">
        <v>9</v>
      </c>
      <c r="B350">
        <v>524</v>
      </c>
      <c r="C350" t="s">
        <v>55</v>
      </c>
      <c r="D350" s="3" t="s">
        <v>32</v>
      </c>
      <c r="E350" s="1">
        <v>80955</v>
      </c>
      <c r="F350">
        <v>2313</v>
      </c>
      <c r="G350" s="1">
        <v>5</v>
      </c>
      <c r="H350" s="1">
        <v>350</v>
      </c>
      <c r="I350" s="3" t="str">
        <f>TEXT(financials[[#This Row],[Schedule Delivery Date]],"mmmm")</f>
        <v>January</v>
      </c>
      <c r="J350">
        <f>YEAR(financials[[#This Row],[Schedule Delivery Date]])</f>
        <v>2026</v>
      </c>
      <c r="K350" s="7">
        <v>5</v>
      </c>
      <c r="L350" s="9">
        <v>46027</v>
      </c>
      <c r="M350" s="9">
        <v>46026</v>
      </c>
    </row>
    <row r="351" spans="1:13" x14ac:dyDescent="0.25">
      <c r="A351" t="s">
        <v>9</v>
      </c>
      <c r="B351">
        <v>525</v>
      </c>
      <c r="C351" t="s">
        <v>14</v>
      </c>
      <c r="D351" s="3" t="s">
        <v>33</v>
      </c>
      <c r="E351" s="1">
        <v>149677.5</v>
      </c>
      <c r="F351">
        <v>2851</v>
      </c>
      <c r="G351" s="1">
        <v>10</v>
      </c>
      <c r="H351" s="1">
        <v>350</v>
      </c>
      <c r="I351" s="3" t="str">
        <f>TEXT(financials[[#This Row],[Schedule Delivery Date]],"mmmm")</f>
        <v>January</v>
      </c>
      <c r="J351">
        <f>YEAR(financials[[#This Row],[Schedule Delivery Date]])</f>
        <v>2026</v>
      </c>
      <c r="K351" s="7">
        <v>5</v>
      </c>
      <c r="L351" s="9">
        <v>46027</v>
      </c>
      <c r="M351" s="9">
        <v>46026</v>
      </c>
    </row>
    <row r="352" spans="1:13" x14ac:dyDescent="0.25">
      <c r="A352" t="s">
        <v>7</v>
      </c>
      <c r="B352">
        <v>526</v>
      </c>
      <c r="C352" t="s">
        <v>12</v>
      </c>
      <c r="D352" s="3" t="s">
        <v>31</v>
      </c>
      <c r="E352" s="1">
        <v>0</v>
      </c>
      <c r="F352">
        <v>2178</v>
      </c>
      <c r="G352" s="1">
        <v>3</v>
      </c>
      <c r="H352" s="1">
        <v>15</v>
      </c>
      <c r="I352" s="3" t="str">
        <f>TEXT(financials[[#This Row],[Schedule Delivery Date]],"mmmm")</f>
        <v>January</v>
      </c>
      <c r="J352">
        <f>YEAR(financials[[#This Row],[Schedule Delivery Date]])</f>
        <v>2026</v>
      </c>
      <c r="K352" s="7">
        <v>6</v>
      </c>
      <c r="L352" s="9">
        <v>46027</v>
      </c>
      <c r="M352" s="9">
        <v>46024</v>
      </c>
    </row>
    <row r="353" spans="1:13" x14ac:dyDescent="0.25">
      <c r="A353" t="s">
        <v>7</v>
      </c>
      <c r="B353">
        <v>527</v>
      </c>
      <c r="C353" t="s">
        <v>13</v>
      </c>
      <c r="D353" s="3" t="s">
        <v>31</v>
      </c>
      <c r="E353" s="1">
        <v>0</v>
      </c>
      <c r="F353">
        <v>888</v>
      </c>
      <c r="G353" s="1">
        <v>3</v>
      </c>
      <c r="H353" s="1">
        <v>15</v>
      </c>
      <c r="I353" s="3" t="str">
        <f>TEXT(financials[[#This Row],[Schedule Delivery Date]],"mmmm")</f>
        <v>January</v>
      </c>
      <c r="J353">
        <f>YEAR(financials[[#This Row],[Schedule Delivery Date]])</f>
        <v>2026</v>
      </c>
      <c r="K353" s="7">
        <v>6</v>
      </c>
      <c r="L353" s="9">
        <v>46027</v>
      </c>
      <c r="M353" s="9">
        <v>46024</v>
      </c>
    </row>
    <row r="354" spans="1:13" x14ac:dyDescent="0.25">
      <c r="A354" t="s">
        <v>7</v>
      </c>
      <c r="B354">
        <v>528</v>
      </c>
      <c r="C354" t="s">
        <v>14</v>
      </c>
      <c r="D354" s="3" t="s">
        <v>31</v>
      </c>
      <c r="E354" s="1">
        <v>0</v>
      </c>
      <c r="F354">
        <v>2470</v>
      </c>
      <c r="G354" s="1">
        <v>3</v>
      </c>
      <c r="H354" s="1">
        <v>15</v>
      </c>
      <c r="I354" s="3" t="str">
        <f>TEXT(financials[[#This Row],[Schedule Delivery Date]],"mmmm")</f>
        <v>January</v>
      </c>
      <c r="J354">
        <f>YEAR(financials[[#This Row],[Schedule Delivery Date]])</f>
        <v>2026</v>
      </c>
      <c r="K354" s="7">
        <v>6</v>
      </c>
      <c r="L354" s="9">
        <v>46027</v>
      </c>
      <c r="M354" s="9">
        <v>46024</v>
      </c>
    </row>
    <row r="355" spans="1:13" x14ac:dyDescent="0.25">
      <c r="A355" t="s">
        <v>10</v>
      </c>
      <c r="B355">
        <v>529</v>
      </c>
      <c r="C355" t="s">
        <v>11</v>
      </c>
      <c r="D355" s="3" t="s">
        <v>32</v>
      </c>
      <c r="E355" s="1">
        <v>0</v>
      </c>
      <c r="F355">
        <v>2518</v>
      </c>
      <c r="G355" s="1">
        <v>5</v>
      </c>
      <c r="H355" s="1">
        <v>12</v>
      </c>
      <c r="I355" s="3" t="str">
        <f>TEXT(financials[[#This Row],[Schedule Delivery Date]],"mmmm")</f>
        <v>January</v>
      </c>
      <c r="J355">
        <f>YEAR(financials[[#This Row],[Schedule Delivery Date]])</f>
        <v>2026</v>
      </c>
      <c r="K355" s="7">
        <v>6</v>
      </c>
      <c r="L355" s="9">
        <v>46027</v>
      </c>
      <c r="M355" s="9">
        <v>46024</v>
      </c>
    </row>
    <row r="356" spans="1:13" x14ac:dyDescent="0.25">
      <c r="A356" t="s">
        <v>9</v>
      </c>
      <c r="B356">
        <v>530</v>
      </c>
      <c r="C356" t="s">
        <v>12</v>
      </c>
      <c r="D356" s="3" t="s">
        <v>32</v>
      </c>
      <c r="E356" s="1">
        <v>0</v>
      </c>
      <c r="F356">
        <v>1899</v>
      </c>
      <c r="G356" s="1">
        <v>5</v>
      </c>
      <c r="H356" s="1">
        <v>20</v>
      </c>
      <c r="I356" s="3" t="str">
        <f>TEXT(financials[[#This Row],[Schedule Delivery Date]],"mmmm")</f>
        <v>January</v>
      </c>
      <c r="J356">
        <f>YEAR(financials[[#This Row],[Schedule Delivery Date]])</f>
        <v>2026</v>
      </c>
      <c r="K356" s="7">
        <v>6</v>
      </c>
      <c r="L356" s="9">
        <v>46027</v>
      </c>
      <c r="M356" s="9">
        <v>46026</v>
      </c>
    </row>
    <row r="357" spans="1:13" x14ac:dyDescent="0.25">
      <c r="A357" t="s">
        <v>10</v>
      </c>
      <c r="B357">
        <v>531</v>
      </c>
      <c r="C357" t="s">
        <v>13</v>
      </c>
      <c r="D357" s="3" t="s">
        <v>32</v>
      </c>
      <c r="E357" s="1">
        <v>0</v>
      </c>
      <c r="F357">
        <v>1545</v>
      </c>
      <c r="G357" s="1">
        <v>5</v>
      </c>
      <c r="H357" s="1">
        <v>12</v>
      </c>
      <c r="I357" s="3" t="str">
        <f>TEXT(financials[[#This Row],[Schedule Delivery Date]],"mmmm")</f>
        <v>January</v>
      </c>
      <c r="J357">
        <f>YEAR(financials[[#This Row],[Schedule Delivery Date]])</f>
        <v>2026</v>
      </c>
      <c r="K357" s="7">
        <v>6</v>
      </c>
      <c r="L357" s="9">
        <v>46027</v>
      </c>
      <c r="M357" s="9">
        <v>46025</v>
      </c>
    </row>
    <row r="358" spans="1:13" x14ac:dyDescent="0.25">
      <c r="A358" t="s">
        <v>7</v>
      </c>
      <c r="B358">
        <v>532</v>
      </c>
      <c r="C358" t="s">
        <v>14</v>
      </c>
      <c r="D358" s="3" t="s">
        <v>32</v>
      </c>
      <c r="E358" s="1">
        <v>0</v>
      </c>
      <c r="F358">
        <v>2470</v>
      </c>
      <c r="G358" s="1">
        <v>5</v>
      </c>
      <c r="H358" s="1">
        <v>15</v>
      </c>
      <c r="I358" s="3" t="str">
        <f>TEXT(financials[[#This Row],[Schedule Delivery Date]],"mmmm")</f>
        <v>January</v>
      </c>
      <c r="J358">
        <f>YEAR(financials[[#This Row],[Schedule Delivery Date]])</f>
        <v>2026</v>
      </c>
      <c r="K358" s="7">
        <v>6</v>
      </c>
      <c r="L358" s="9">
        <v>46027</v>
      </c>
      <c r="M358" s="9">
        <v>46027</v>
      </c>
    </row>
    <row r="359" spans="1:13" x14ac:dyDescent="0.25">
      <c r="A359" t="s">
        <v>10</v>
      </c>
      <c r="B359">
        <v>533</v>
      </c>
      <c r="C359" t="s">
        <v>11</v>
      </c>
      <c r="D359" s="3" t="s">
        <v>33</v>
      </c>
      <c r="E359" s="1">
        <v>0</v>
      </c>
      <c r="F359">
        <v>2518</v>
      </c>
      <c r="G359" s="1">
        <v>10</v>
      </c>
      <c r="H359" s="1">
        <v>12</v>
      </c>
      <c r="I359" s="3" t="str">
        <f>TEXT(financials[[#This Row],[Schedule Delivery Date]],"mmmm")</f>
        <v>January</v>
      </c>
      <c r="J359">
        <f>YEAR(financials[[#This Row],[Schedule Delivery Date]])</f>
        <v>2026</v>
      </c>
      <c r="K359" s="7">
        <v>6</v>
      </c>
      <c r="L359" s="9">
        <v>46027</v>
      </c>
      <c r="M359" s="9">
        <v>46025</v>
      </c>
    </row>
    <row r="360" spans="1:13" x14ac:dyDescent="0.25">
      <c r="A360" t="s">
        <v>9</v>
      </c>
      <c r="B360">
        <v>534</v>
      </c>
      <c r="C360" t="s">
        <v>13</v>
      </c>
      <c r="D360" s="3" t="s">
        <v>33</v>
      </c>
      <c r="E360" s="1">
        <v>0</v>
      </c>
      <c r="F360">
        <v>1006</v>
      </c>
      <c r="G360" s="1">
        <v>10</v>
      </c>
      <c r="H360" s="1">
        <v>350</v>
      </c>
      <c r="I360" s="3" t="str">
        <f>TEXT(financials[[#This Row],[Schedule Delivery Date]],"mmmm")</f>
        <v>January</v>
      </c>
      <c r="J360">
        <f>YEAR(financials[[#This Row],[Schedule Delivery Date]])</f>
        <v>2026</v>
      </c>
      <c r="K360" s="7">
        <v>6</v>
      </c>
      <c r="L360" s="9">
        <v>46027</v>
      </c>
      <c r="M360" s="9">
        <v>46026</v>
      </c>
    </row>
    <row r="361" spans="1:13" x14ac:dyDescent="0.25">
      <c r="A361" t="s">
        <v>9</v>
      </c>
      <c r="B361">
        <v>535</v>
      </c>
      <c r="C361" t="s">
        <v>13</v>
      </c>
      <c r="D361" s="3" t="s">
        <v>34</v>
      </c>
      <c r="E361" s="1">
        <v>0</v>
      </c>
      <c r="F361">
        <v>1006</v>
      </c>
      <c r="G361" s="1">
        <v>120</v>
      </c>
      <c r="H361" s="1">
        <v>350</v>
      </c>
      <c r="I361" s="3" t="str">
        <f>TEXT(financials[[#This Row],[Schedule Delivery Date]],"mmmm")</f>
        <v>January</v>
      </c>
      <c r="J361">
        <f>YEAR(financials[[#This Row],[Schedule Delivery Date]])</f>
        <v>2026</v>
      </c>
      <c r="K361" s="7">
        <v>6</v>
      </c>
      <c r="L361" s="9">
        <v>46027</v>
      </c>
      <c r="M361" s="9">
        <v>46025</v>
      </c>
    </row>
    <row r="362" spans="1:13" x14ac:dyDescent="0.25">
      <c r="A362" t="s">
        <v>10</v>
      </c>
      <c r="B362">
        <v>536</v>
      </c>
      <c r="C362" t="s">
        <v>13</v>
      </c>
      <c r="D362" s="3" t="s">
        <v>34</v>
      </c>
      <c r="E362" s="1">
        <v>0</v>
      </c>
      <c r="F362">
        <v>1545</v>
      </c>
      <c r="G362" s="1">
        <v>120</v>
      </c>
      <c r="H362" s="1">
        <v>12</v>
      </c>
      <c r="I362" s="3" t="str">
        <f>TEXT(financials[[#This Row],[Schedule Delivery Date]],"mmmm")</f>
        <v>January</v>
      </c>
      <c r="J362">
        <f>YEAR(financials[[#This Row],[Schedule Delivery Date]])</f>
        <v>2026</v>
      </c>
      <c r="K362" s="7">
        <v>6</v>
      </c>
      <c r="L362" s="9">
        <v>46027</v>
      </c>
      <c r="M362" s="9">
        <v>46027</v>
      </c>
    </row>
    <row r="363" spans="1:13" x14ac:dyDescent="0.25">
      <c r="A363" t="s">
        <v>7</v>
      </c>
      <c r="B363">
        <v>537</v>
      </c>
      <c r="C363" t="s">
        <v>12</v>
      </c>
      <c r="D363" s="3" t="s">
        <v>35</v>
      </c>
      <c r="E363" s="1">
        <v>0</v>
      </c>
      <c r="F363">
        <v>2178</v>
      </c>
      <c r="G363" s="1">
        <v>250</v>
      </c>
      <c r="H363" s="1">
        <v>15</v>
      </c>
      <c r="I363" s="3" t="str">
        <f>TEXT(financials[[#This Row],[Schedule Delivery Date]],"mmmm")</f>
        <v>January</v>
      </c>
      <c r="J363">
        <f>YEAR(financials[[#This Row],[Schedule Delivery Date]])</f>
        <v>2026</v>
      </c>
      <c r="K363" s="7">
        <v>6</v>
      </c>
      <c r="L363" s="9">
        <v>46027</v>
      </c>
      <c r="M363" s="9">
        <v>46027</v>
      </c>
    </row>
    <row r="364" spans="1:13" x14ac:dyDescent="0.25">
      <c r="A364" t="s">
        <v>7</v>
      </c>
      <c r="B364">
        <v>538</v>
      </c>
      <c r="C364" t="s">
        <v>13</v>
      </c>
      <c r="D364" s="3" t="s">
        <v>35</v>
      </c>
      <c r="E364" s="1">
        <v>0</v>
      </c>
      <c r="F364">
        <v>888</v>
      </c>
      <c r="G364" s="1">
        <v>250</v>
      </c>
      <c r="H364" s="1">
        <v>15</v>
      </c>
      <c r="I364" s="3" t="str">
        <f>TEXT(financials[[#This Row],[Schedule Delivery Date]],"mmmm")</f>
        <v>January</v>
      </c>
      <c r="J364">
        <f>YEAR(financials[[#This Row],[Schedule Delivery Date]])</f>
        <v>2026</v>
      </c>
      <c r="K364" s="7">
        <v>6</v>
      </c>
      <c r="L364" s="9">
        <v>46027</v>
      </c>
      <c r="M364" s="9">
        <v>46027</v>
      </c>
    </row>
    <row r="365" spans="1:13" x14ac:dyDescent="0.25">
      <c r="A365" t="s">
        <v>9</v>
      </c>
      <c r="B365">
        <v>539</v>
      </c>
      <c r="C365" t="s">
        <v>12</v>
      </c>
      <c r="D365" s="3" t="s">
        <v>36</v>
      </c>
      <c r="E365" s="1">
        <v>0</v>
      </c>
      <c r="F365">
        <v>1899</v>
      </c>
      <c r="G365" s="1">
        <v>260</v>
      </c>
      <c r="H365" s="1">
        <v>20</v>
      </c>
      <c r="I365" s="3" t="str">
        <f>TEXT(financials[[#This Row],[Schedule Delivery Date]],"mmmm")</f>
        <v>January</v>
      </c>
      <c r="J365">
        <f>YEAR(financials[[#This Row],[Schedule Delivery Date]])</f>
        <v>2026</v>
      </c>
      <c r="K365" s="7">
        <v>6</v>
      </c>
      <c r="L365" s="9">
        <v>46027</v>
      </c>
      <c r="M365" s="9">
        <v>46026</v>
      </c>
    </row>
    <row r="366" spans="1:13" x14ac:dyDescent="0.25">
      <c r="A366" t="s">
        <v>10</v>
      </c>
      <c r="B366">
        <v>540</v>
      </c>
      <c r="C366" t="s">
        <v>55</v>
      </c>
      <c r="D366" s="3" t="s">
        <v>32</v>
      </c>
      <c r="E366" s="1">
        <v>274.08</v>
      </c>
      <c r="F366">
        <v>1142</v>
      </c>
      <c r="G366" s="1">
        <v>5</v>
      </c>
      <c r="H366" s="1">
        <v>12</v>
      </c>
      <c r="I366" s="3" t="str">
        <f>TEXT(financials[[#This Row],[Schedule Delivery Date]],"mmmm")</f>
        <v>January</v>
      </c>
      <c r="J366">
        <f>YEAR(financials[[#This Row],[Schedule Delivery Date]])</f>
        <v>2026</v>
      </c>
      <c r="K366" s="7">
        <v>6</v>
      </c>
      <c r="L366" s="9">
        <v>46027</v>
      </c>
      <c r="M366" s="9">
        <v>46026</v>
      </c>
    </row>
    <row r="367" spans="1:13" x14ac:dyDescent="0.25">
      <c r="A367" t="s">
        <v>10</v>
      </c>
      <c r="B367">
        <v>541</v>
      </c>
      <c r="C367" t="s">
        <v>55</v>
      </c>
      <c r="D367" s="3" t="s">
        <v>33</v>
      </c>
      <c r="E367" s="1">
        <v>274.08</v>
      </c>
      <c r="F367">
        <v>1142</v>
      </c>
      <c r="G367" s="1">
        <v>10</v>
      </c>
      <c r="H367" s="1">
        <v>12</v>
      </c>
      <c r="I367" s="3" t="str">
        <f>TEXT(financials[[#This Row],[Schedule Delivery Date]],"mmmm")</f>
        <v>January</v>
      </c>
      <c r="J367">
        <f>YEAR(financials[[#This Row],[Schedule Delivery Date]])</f>
        <v>2026</v>
      </c>
      <c r="K367" s="7">
        <v>6</v>
      </c>
      <c r="L367" s="9">
        <v>46027</v>
      </c>
      <c r="M367" s="9">
        <v>46025</v>
      </c>
    </row>
    <row r="368" spans="1:13" x14ac:dyDescent="0.25">
      <c r="A368" t="s">
        <v>9</v>
      </c>
      <c r="B368">
        <v>542</v>
      </c>
      <c r="C368" t="s">
        <v>11</v>
      </c>
      <c r="D368" s="3" t="s">
        <v>34</v>
      </c>
      <c r="E368" s="1">
        <v>556.15</v>
      </c>
      <c r="F368">
        <v>1135</v>
      </c>
      <c r="G368" s="1">
        <v>120</v>
      </c>
      <c r="H368" s="1">
        <v>7</v>
      </c>
      <c r="I368" s="3" t="str">
        <f>TEXT(financials[[#This Row],[Schedule Delivery Date]],"mmmm")</f>
        <v>January</v>
      </c>
      <c r="J368">
        <f>YEAR(financials[[#This Row],[Schedule Delivery Date]])</f>
        <v>2026</v>
      </c>
      <c r="K368" s="7">
        <v>6</v>
      </c>
      <c r="L368" s="9">
        <v>46027</v>
      </c>
      <c r="M368" s="9">
        <v>46026</v>
      </c>
    </row>
    <row r="369" spans="1:13" x14ac:dyDescent="0.25">
      <c r="A369" t="s">
        <v>9</v>
      </c>
      <c r="B369">
        <v>543</v>
      </c>
      <c r="C369" t="s">
        <v>11</v>
      </c>
      <c r="D369" s="3" t="s">
        <v>36</v>
      </c>
      <c r="E369" s="1">
        <v>556.15</v>
      </c>
      <c r="F369">
        <v>1135</v>
      </c>
      <c r="G369" s="1">
        <v>260</v>
      </c>
      <c r="H369" s="1">
        <v>7</v>
      </c>
      <c r="I369" s="3" t="str">
        <f>TEXT(financials[[#This Row],[Schedule Delivery Date]],"mmmm")</f>
        <v>January</v>
      </c>
      <c r="J369">
        <f>YEAR(financials[[#This Row],[Schedule Delivery Date]])</f>
        <v>2026</v>
      </c>
      <c r="K369" s="7">
        <v>6</v>
      </c>
      <c r="L369" s="9">
        <v>46027</v>
      </c>
      <c r="M369" s="9">
        <v>46025</v>
      </c>
    </row>
    <row r="370" spans="1:13" x14ac:dyDescent="0.25">
      <c r="A370" t="s">
        <v>9</v>
      </c>
      <c r="B370">
        <v>544</v>
      </c>
      <c r="C370" t="s">
        <v>14</v>
      </c>
      <c r="D370" s="3" t="s">
        <v>34</v>
      </c>
      <c r="E370" s="1">
        <v>629.16</v>
      </c>
      <c r="F370">
        <v>1498</v>
      </c>
      <c r="G370" s="1">
        <v>120</v>
      </c>
      <c r="H370" s="1">
        <v>7</v>
      </c>
      <c r="I370" s="3" t="str">
        <f>TEXT(financials[[#This Row],[Schedule Delivery Date]],"mmmm")</f>
        <v>January</v>
      </c>
      <c r="J370">
        <f>YEAR(financials[[#This Row],[Schedule Delivery Date]])</f>
        <v>2026</v>
      </c>
      <c r="K370" s="7">
        <v>6</v>
      </c>
      <c r="L370" s="9">
        <v>46027</v>
      </c>
      <c r="M370" s="9">
        <v>46025</v>
      </c>
    </row>
    <row r="371" spans="1:13" x14ac:dyDescent="0.25">
      <c r="A371" t="s">
        <v>9</v>
      </c>
      <c r="B371">
        <v>545</v>
      </c>
      <c r="C371" t="s">
        <v>14</v>
      </c>
      <c r="D371" s="3" t="s">
        <v>35</v>
      </c>
      <c r="E371" s="1">
        <v>629.16</v>
      </c>
      <c r="F371">
        <v>1498</v>
      </c>
      <c r="G371" s="1">
        <v>250</v>
      </c>
      <c r="H371" s="1">
        <v>7</v>
      </c>
      <c r="I371" s="3" t="str">
        <f>TEXT(financials[[#This Row],[Schedule Delivery Date]],"mmmm")</f>
        <v>January</v>
      </c>
      <c r="J371">
        <f>YEAR(financials[[#This Row],[Schedule Delivery Date]])</f>
        <v>2026</v>
      </c>
      <c r="K371" s="7">
        <v>6</v>
      </c>
      <c r="L371" s="9">
        <v>46027</v>
      </c>
      <c r="M371" s="9">
        <v>46026</v>
      </c>
    </row>
    <row r="372" spans="1:13" x14ac:dyDescent="0.25">
      <c r="A372" t="s">
        <v>10</v>
      </c>
      <c r="B372">
        <v>546</v>
      </c>
      <c r="C372" t="s">
        <v>12</v>
      </c>
      <c r="D372" s="3" t="s">
        <v>32</v>
      </c>
      <c r="E372" s="1">
        <v>684.36</v>
      </c>
      <c r="F372">
        <v>1901</v>
      </c>
      <c r="G372" s="1">
        <v>5</v>
      </c>
      <c r="H372" s="1">
        <v>12</v>
      </c>
      <c r="I372" s="3" t="str">
        <f>TEXT(financials[[#This Row],[Schedule Delivery Date]],"mmmm")</f>
        <v>January</v>
      </c>
      <c r="J372">
        <f>YEAR(financials[[#This Row],[Schedule Delivery Date]])</f>
        <v>2026</v>
      </c>
      <c r="K372" s="7">
        <v>6</v>
      </c>
      <c r="L372" s="9">
        <v>46027</v>
      </c>
      <c r="M372" s="9">
        <v>46025</v>
      </c>
    </row>
    <row r="373" spans="1:13" x14ac:dyDescent="0.25">
      <c r="A373" t="s">
        <v>10</v>
      </c>
      <c r="B373">
        <v>547</v>
      </c>
      <c r="C373" t="s">
        <v>12</v>
      </c>
      <c r="D373" s="3" t="s">
        <v>33</v>
      </c>
      <c r="E373" s="1">
        <v>684.36</v>
      </c>
      <c r="F373">
        <v>1901</v>
      </c>
      <c r="G373" s="1">
        <v>10</v>
      </c>
      <c r="H373" s="1">
        <v>12</v>
      </c>
      <c r="I373" s="3" t="str">
        <f>TEXT(financials[[#This Row],[Schedule Delivery Date]],"mmmm")</f>
        <v>January</v>
      </c>
      <c r="J373">
        <f>YEAR(financials[[#This Row],[Schedule Delivery Date]])</f>
        <v>2026</v>
      </c>
      <c r="K373" s="7">
        <v>6</v>
      </c>
      <c r="L373" s="9">
        <v>46027</v>
      </c>
      <c r="M373" s="9">
        <v>46027</v>
      </c>
    </row>
    <row r="374" spans="1:13" x14ac:dyDescent="0.25">
      <c r="A374" t="s">
        <v>8</v>
      </c>
      <c r="B374">
        <v>548</v>
      </c>
      <c r="C374" t="s">
        <v>55</v>
      </c>
      <c r="D374" s="3" t="s">
        <v>33</v>
      </c>
      <c r="E374" s="1">
        <v>908.75</v>
      </c>
      <c r="F374">
        <v>727</v>
      </c>
      <c r="G374" s="1">
        <v>10</v>
      </c>
      <c r="H374" s="1">
        <v>125</v>
      </c>
      <c r="I374" s="3" t="str">
        <f>TEXT(financials[[#This Row],[Schedule Delivery Date]],"mmmm")</f>
        <v>January</v>
      </c>
      <c r="J374">
        <f>YEAR(financials[[#This Row],[Schedule Delivery Date]])</f>
        <v>2026</v>
      </c>
      <c r="K374" s="7">
        <v>6</v>
      </c>
      <c r="L374" s="9">
        <v>46027</v>
      </c>
      <c r="M374" s="9">
        <v>46027</v>
      </c>
    </row>
    <row r="375" spans="1:13" x14ac:dyDescent="0.25">
      <c r="A375" t="s">
        <v>8</v>
      </c>
      <c r="B375">
        <v>549</v>
      </c>
      <c r="C375" t="s">
        <v>55</v>
      </c>
      <c r="D375" s="3" t="s">
        <v>35</v>
      </c>
      <c r="E375" s="1">
        <v>908.75</v>
      </c>
      <c r="F375">
        <v>727</v>
      </c>
      <c r="G375" s="1">
        <v>250</v>
      </c>
      <c r="H375" s="1">
        <v>125</v>
      </c>
      <c r="I375" s="3" t="str">
        <f>TEXT(financials[[#This Row],[Schedule Delivery Date]],"mmmm")</f>
        <v>January</v>
      </c>
      <c r="J375">
        <f>YEAR(financials[[#This Row],[Schedule Delivery Date]])</f>
        <v>2026</v>
      </c>
      <c r="K375" s="7">
        <v>6</v>
      </c>
      <c r="L375" s="9">
        <v>46027</v>
      </c>
      <c r="M375" s="9">
        <v>46026</v>
      </c>
    </row>
    <row r="376" spans="1:13" x14ac:dyDescent="0.25">
      <c r="A376" t="s">
        <v>10</v>
      </c>
      <c r="B376">
        <v>550</v>
      </c>
      <c r="C376" t="s">
        <v>14</v>
      </c>
      <c r="D376" s="3" t="s">
        <v>32</v>
      </c>
      <c r="E376" s="1">
        <v>942.24</v>
      </c>
      <c r="F376">
        <v>604</v>
      </c>
      <c r="G376" s="1">
        <v>5</v>
      </c>
      <c r="H376" s="1">
        <v>12</v>
      </c>
      <c r="I376" s="3" t="str">
        <f>TEXT(financials[[#This Row],[Schedule Delivery Date]],"mmmm")</f>
        <v>February</v>
      </c>
      <c r="J376">
        <f>YEAR(financials[[#This Row],[Schedule Delivery Date]])</f>
        <v>2026</v>
      </c>
      <c r="K376" s="7">
        <v>6</v>
      </c>
      <c r="L376" s="9">
        <v>46079</v>
      </c>
      <c r="M376" s="9">
        <v>46014</v>
      </c>
    </row>
    <row r="377" spans="1:13" x14ac:dyDescent="0.25">
      <c r="A377" t="s">
        <v>10</v>
      </c>
      <c r="B377">
        <v>551</v>
      </c>
      <c r="C377" t="s">
        <v>14</v>
      </c>
      <c r="D377" s="3" t="s">
        <v>34</v>
      </c>
      <c r="E377" s="1">
        <v>942.24</v>
      </c>
      <c r="F377">
        <v>604</v>
      </c>
      <c r="G377" s="1">
        <v>120</v>
      </c>
      <c r="H377" s="1">
        <v>12</v>
      </c>
      <c r="I377" s="3" t="str">
        <f>TEXT(financials[[#This Row],[Schedule Delivery Date]],"mmmm")</f>
        <v>January</v>
      </c>
      <c r="J377">
        <f>YEAR(financials[[#This Row],[Schedule Delivery Date]])</f>
        <v>2026</v>
      </c>
      <c r="K377" s="7">
        <v>6</v>
      </c>
      <c r="L377" s="9">
        <v>46027</v>
      </c>
      <c r="M377" s="9">
        <v>46026</v>
      </c>
    </row>
    <row r="378" spans="1:13" x14ac:dyDescent="0.25">
      <c r="A378" t="s">
        <v>8</v>
      </c>
      <c r="B378">
        <v>552</v>
      </c>
      <c r="C378" t="s">
        <v>12</v>
      </c>
      <c r="D378" s="3" t="s">
        <v>33</v>
      </c>
      <c r="E378" s="1">
        <v>983.75</v>
      </c>
      <c r="F378">
        <v>787</v>
      </c>
      <c r="G378" s="1">
        <v>10</v>
      </c>
      <c r="H378" s="1">
        <v>125</v>
      </c>
      <c r="I378" s="3" t="str">
        <f>TEXT(financials[[#This Row],[Schedule Delivery Date]],"mmmm")</f>
        <v>January</v>
      </c>
      <c r="J378">
        <f>YEAR(financials[[#This Row],[Schedule Delivery Date]])</f>
        <v>2026</v>
      </c>
      <c r="K378" s="7">
        <v>6</v>
      </c>
      <c r="L378" s="9">
        <v>46027</v>
      </c>
      <c r="M378" s="9">
        <v>46026</v>
      </c>
    </row>
    <row r="379" spans="1:13" x14ac:dyDescent="0.25">
      <c r="A379" t="s">
        <v>8</v>
      </c>
      <c r="B379">
        <v>553</v>
      </c>
      <c r="C379" t="s">
        <v>12</v>
      </c>
      <c r="D379" s="3" t="s">
        <v>35</v>
      </c>
      <c r="E379" s="1">
        <v>983.75</v>
      </c>
      <c r="F379">
        <v>787</v>
      </c>
      <c r="G379" s="1">
        <v>250</v>
      </c>
      <c r="H379" s="1">
        <v>125</v>
      </c>
      <c r="I379" s="3" t="str">
        <f>TEXT(financials[[#This Row],[Schedule Delivery Date]],"mmmm")</f>
        <v>January</v>
      </c>
      <c r="J379">
        <f>YEAR(financials[[#This Row],[Schedule Delivery Date]])</f>
        <v>2026</v>
      </c>
      <c r="K379" s="7">
        <v>6</v>
      </c>
      <c r="L379" s="9">
        <v>46027</v>
      </c>
      <c r="M379" s="9">
        <v>46025</v>
      </c>
    </row>
    <row r="380" spans="1:13" x14ac:dyDescent="0.25">
      <c r="A380" t="s">
        <v>9</v>
      </c>
      <c r="B380">
        <v>554</v>
      </c>
      <c r="C380" t="s">
        <v>12</v>
      </c>
      <c r="D380" s="3" t="s">
        <v>34</v>
      </c>
      <c r="E380" s="1">
        <v>1082.9000000000001</v>
      </c>
      <c r="F380">
        <v>1190</v>
      </c>
      <c r="G380" s="1">
        <v>120</v>
      </c>
      <c r="H380" s="1">
        <v>7</v>
      </c>
      <c r="I380" s="3" t="str">
        <f>TEXT(financials[[#This Row],[Schedule Delivery Date]],"mmmm")</f>
        <v>January</v>
      </c>
      <c r="J380">
        <f>YEAR(financials[[#This Row],[Schedule Delivery Date]])</f>
        <v>2026</v>
      </c>
      <c r="K380" s="7">
        <v>6</v>
      </c>
      <c r="L380" s="9">
        <v>46027</v>
      </c>
      <c r="M380" s="9">
        <v>46024</v>
      </c>
    </row>
    <row r="381" spans="1:13" x14ac:dyDescent="0.25">
      <c r="A381" t="s">
        <v>9</v>
      </c>
      <c r="B381">
        <v>555</v>
      </c>
      <c r="C381" t="s">
        <v>12</v>
      </c>
      <c r="D381" s="3" t="s">
        <v>36</v>
      </c>
      <c r="E381" s="1">
        <v>1082.9000000000001</v>
      </c>
      <c r="F381">
        <v>1190</v>
      </c>
      <c r="G381" s="1">
        <v>260</v>
      </c>
      <c r="H381" s="1">
        <v>7</v>
      </c>
      <c r="I381" s="3" t="str">
        <f>TEXT(financials[[#This Row],[Schedule Delivery Date]],"mmmm")</f>
        <v>January</v>
      </c>
      <c r="J381">
        <f>YEAR(financials[[#This Row],[Schedule Delivery Date]])</f>
        <v>2026</v>
      </c>
      <c r="K381" s="7">
        <v>6</v>
      </c>
      <c r="L381" s="9">
        <v>46027</v>
      </c>
      <c r="M381" s="9">
        <v>46026</v>
      </c>
    </row>
    <row r="382" spans="1:13" x14ac:dyDescent="0.25">
      <c r="A382" t="s">
        <v>9</v>
      </c>
      <c r="B382">
        <v>556</v>
      </c>
      <c r="C382" t="s">
        <v>11</v>
      </c>
      <c r="D382" s="3" t="s">
        <v>32</v>
      </c>
      <c r="E382" s="1">
        <v>1132.8</v>
      </c>
      <c r="F382">
        <v>708</v>
      </c>
      <c r="G382" s="1">
        <v>5</v>
      </c>
      <c r="H382" s="1">
        <v>20</v>
      </c>
      <c r="I382" s="3" t="str">
        <f>TEXT(financials[[#This Row],[Schedule Delivery Date]],"mmmm")</f>
        <v>January</v>
      </c>
      <c r="J382">
        <f>YEAR(financials[[#This Row],[Schedule Delivery Date]])</f>
        <v>2026</v>
      </c>
      <c r="K382" s="7">
        <v>6</v>
      </c>
      <c r="L382" s="9">
        <v>46027</v>
      </c>
      <c r="M382" s="9">
        <v>46026</v>
      </c>
    </row>
    <row r="383" spans="1:13" x14ac:dyDescent="0.25">
      <c r="A383" t="s">
        <v>9</v>
      </c>
      <c r="B383">
        <v>557</v>
      </c>
      <c r="C383" t="s">
        <v>11</v>
      </c>
      <c r="D383" s="3" t="s">
        <v>36</v>
      </c>
      <c r="E383" s="1">
        <v>1132.8</v>
      </c>
      <c r="F383">
        <v>708</v>
      </c>
      <c r="G383" s="1">
        <v>260</v>
      </c>
      <c r="H383" s="1">
        <v>20</v>
      </c>
      <c r="I383" s="3" t="str">
        <f>TEXT(financials[[#This Row],[Schedule Delivery Date]],"mmmm")</f>
        <v>January</v>
      </c>
      <c r="J383">
        <f>YEAR(financials[[#This Row],[Schedule Delivery Date]])</f>
        <v>2026</v>
      </c>
      <c r="K383" s="7">
        <v>6</v>
      </c>
      <c r="L383" s="9">
        <v>46027</v>
      </c>
      <c r="M383" s="9">
        <v>46026</v>
      </c>
    </row>
    <row r="384" spans="1:13" x14ac:dyDescent="0.25">
      <c r="A384" t="s">
        <v>9</v>
      </c>
      <c r="B384">
        <v>558</v>
      </c>
      <c r="C384" t="s">
        <v>13</v>
      </c>
      <c r="D384" s="3" t="s">
        <v>34</v>
      </c>
      <c r="E384" s="1">
        <v>1309.28</v>
      </c>
      <c r="F384">
        <v>2338</v>
      </c>
      <c r="G384" s="1">
        <v>120</v>
      </c>
      <c r="H384" s="1">
        <v>7</v>
      </c>
      <c r="I384" s="3" t="str">
        <f>TEXT(financials[[#This Row],[Schedule Delivery Date]],"mmmm")</f>
        <v>January</v>
      </c>
      <c r="J384">
        <f>YEAR(financials[[#This Row],[Schedule Delivery Date]])</f>
        <v>2026</v>
      </c>
      <c r="K384" s="7">
        <v>6</v>
      </c>
      <c r="L384" s="9">
        <v>46027</v>
      </c>
      <c r="M384" s="9">
        <v>46026</v>
      </c>
    </row>
    <row r="385" spans="1:13" x14ac:dyDescent="0.25">
      <c r="A385" t="s">
        <v>9</v>
      </c>
      <c r="B385">
        <v>559</v>
      </c>
      <c r="C385" t="s">
        <v>13</v>
      </c>
      <c r="D385" s="3" t="s">
        <v>35</v>
      </c>
      <c r="E385" s="1">
        <v>1309.28</v>
      </c>
      <c r="F385">
        <v>2338</v>
      </c>
      <c r="G385" s="1">
        <v>250</v>
      </c>
      <c r="H385" s="1">
        <v>7</v>
      </c>
      <c r="I385" s="3" t="str">
        <f>TEXT(financials[[#This Row],[Schedule Delivery Date]],"mmmm")</f>
        <v>January</v>
      </c>
      <c r="J385">
        <f>YEAR(financials[[#This Row],[Schedule Delivery Date]])</f>
        <v>2026</v>
      </c>
      <c r="K385" s="7">
        <v>6</v>
      </c>
      <c r="L385" s="9">
        <v>46027</v>
      </c>
      <c r="M385" s="9">
        <v>46026</v>
      </c>
    </row>
    <row r="386" spans="1:13" x14ac:dyDescent="0.25">
      <c r="A386" t="s">
        <v>9</v>
      </c>
      <c r="B386">
        <v>560</v>
      </c>
      <c r="C386" t="s">
        <v>55</v>
      </c>
      <c r="D386" s="3" t="s">
        <v>34</v>
      </c>
      <c r="E386" s="1">
        <v>1627.92</v>
      </c>
      <c r="F386">
        <v>2907</v>
      </c>
      <c r="G386" s="1">
        <v>120</v>
      </c>
      <c r="H386" s="1">
        <v>7</v>
      </c>
      <c r="I386" s="3" t="str">
        <f>TEXT(financials[[#This Row],[Schedule Delivery Date]],"mmmm")</f>
        <v>January</v>
      </c>
      <c r="J386">
        <f>YEAR(financials[[#This Row],[Schedule Delivery Date]])</f>
        <v>2026</v>
      </c>
      <c r="K386" s="7">
        <v>6</v>
      </c>
      <c r="L386" s="9">
        <v>46027</v>
      </c>
      <c r="M386" s="9">
        <v>46026</v>
      </c>
    </row>
    <row r="387" spans="1:13" x14ac:dyDescent="0.25">
      <c r="A387" t="s">
        <v>9</v>
      </c>
      <c r="B387">
        <v>561</v>
      </c>
      <c r="C387" t="s">
        <v>55</v>
      </c>
      <c r="D387" s="3" t="s">
        <v>36</v>
      </c>
      <c r="E387" s="1">
        <v>1627.92</v>
      </c>
      <c r="F387">
        <v>2907</v>
      </c>
      <c r="G387" s="1">
        <v>260</v>
      </c>
      <c r="H387" s="1">
        <v>7</v>
      </c>
      <c r="I387" s="3" t="str">
        <f>TEXT(financials[[#This Row],[Schedule Delivery Date]],"mmmm")</f>
        <v>January</v>
      </c>
      <c r="J387">
        <f>YEAR(financials[[#This Row],[Schedule Delivery Date]])</f>
        <v>2026</v>
      </c>
      <c r="K387" s="7">
        <v>6</v>
      </c>
      <c r="L387" s="9">
        <v>46027</v>
      </c>
      <c r="M387" s="9">
        <v>46025</v>
      </c>
    </row>
    <row r="388" spans="1:13" x14ac:dyDescent="0.25">
      <c r="A388" t="s">
        <v>8</v>
      </c>
      <c r="B388">
        <v>562</v>
      </c>
      <c r="C388" t="s">
        <v>14</v>
      </c>
      <c r="D388" s="3" t="s">
        <v>33</v>
      </c>
      <c r="E388" s="1">
        <v>1655</v>
      </c>
      <c r="F388">
        <v>662</v>
      </c>
      <c r="G388" s="1">
        <v>10</v>
      </c>
      <c r="H388" s="1">
        <v>125</v>
      </c>
      <c r="I388" s="3" t="str">
        <f>TEXT(financials[[#This Row],[Schedule Delivery Date]],"mmmm")</f>
        <v>January</v>
      </c>
      <c r="J388">
        <f>YEAR(financials[[#This Row],[Schedule Delivery Date]])</f>
        <v>2026</v>
      </c>
      <c r="K388" s="7">
        <v>6</v>
      </c>
      <c r="L388" s="9">
        <v>46027</v>
      </c>
      <c r="M388" s="9">
        <v>46026</v>
      </c>
    </row>
    <row r="389" spans="1:13" x14ac:dyDescent="0.25">
      <c r="A389" t="s">
        <v>8</v>
      </c>
      <c r="B389">
        <v>563</v>
      </c>
      <c r="C389" t="s">
        <v>14</v>
      </c>
      <c r="D389" s="3" t="s">
        <v>35</v>
      </c>
      <c r="E389" s="1">
        <v>1655</v>
      </c>
      <c r="F389">
        <v>662</v>
      </c>
      <c r="G389" s="1">
        <v>250</v>
      </c>
      <c r="H389" s="1">
        <v>125</v>
      </c>
      <c r="I389" s="3" t="str">
        <f>TEXT(financials[[#This Row],[Schedule Delivery Date]],"mmmm")</f>
        <v>January</v>
      </c>
      <c r="J389">
        <f>YEAR(financials[[#This Row],[Schedule Delivery Date]])</f>
        <v>2026</v>
      </c>
      <c r="K389" s="7">
        <v>6</v>
      </c>
      <c r="L389" s="9">
        <v>46027</v>
      </c>
      <c r="M389" s="9">
        <v>46027</v>
      </c>
    </row>
    <row r="390" spans="1:13" x14ac:dyDescent="0.25">
      <c r="A390" t="s">
        <v>9</v>
      </c>
      <c r="B390">
        <v>564</v>
      </c>
      <c r="C390" t="s">
        <v>14</v>
      </c>
      <c r="D390" s="3" t="s">
        <v>33</v>
      </c>
      <c r="E390" s="1">
        <v>1868.4</v>
      </c>
      <c r="F390">
        <v>1038</v>
      </c>
      <c r="G390" s="1">
        <v>10</v>
      </c>
      <c r="H390" s="1">
        <v>20</v>
      </c>
      <c r="I390" s="3" t="str">
        <f>TEXT(financials[[#This Row],[Schedule Delivery Date]],"mmmm")</f>
        <v>January</v>
      </c>
      <c r="J390">
        <f>YEAR(financials[[#This Row],[Schedule Delivery Date]])</f>
        <v>2026</v>
      </c>
      <c r="K390" s="7">
        <v>6</v>
      </c>
      <c r="L390" s="9">
        <v>46027</v>
      </c>
      <c r="M390" s="9">
        <v>46027</v>
      </c>
    </row>
    <row r="391" spans="1:13" x14ac:dyDescent="0.25">
      <c r="A391" t="s">
        <v>9</v>
      </c>
      <c r="B391">
        <v>565</v>
      </c>
      <c r="C391" t="s">
        <v>14</v>
      </c>
      <c r="D391" s="3" t="s">
        <v>36</v>
      </c>
      <c r="E391" s="1">
        <v>1868.4</v>
      </c>
      <c r="F391">
        <v>1038</v>
      </c>
      <c r="G391" s="1">
        <v>260</v>
      </c>
      <c r="H391" s="1">
        <v>20</v>
      </c>
      <c r="I391" s="3" t="str">
        <f>TEXT(financials[[#This Row],[Schedule Delivery Date]],"mmmm")</f>
        <v>January</v>
      </c>
      <c r="J391">
        <f>YEAR(financials[[#This Row],[Schedule Delivery Date]])</f>
        <v>2026</v>
      </c>
      <c r="K391" s="7">
        <v>6</v>
      </c>
      <c r="L391" s="9">
        <v>46027</v>
      </c>
      <c r="M391" s="9">
        <v>46027</v>
      </c>
    </row>
    <row r="392" spans="1:13" x14ac:dyDescent="0.25">
      <c r="A392" t="s">
        <v>9</v>
      </c>
      <c r="B392">
        <v>566</v>
      </c>
      <c r="C392" t="s">
        <v>55</v>
      </c>
      <c r="D392" s="3" t="s">
        <v>32</v>
      </c>
      <c r="E392" s="1">
        <v>2051.1999999999998</v>
      </c>
      <c r="F392">
        <v>1282</v>
      </c>
      <c r="G392" s="1">
        <v>5</v>
      </c>
      <c r="H392" s="1">
        <v>20</v>
      </c>
      <c r="I392" s="3" t="str">
        <f>TEXT(financials[[#This Row],[Schedule Delivery Date]],"mmmm")</f>
        <v>January</v>
      </c>
      <c r="J392">
        <f>YEAR(financials[[#This Row],[Schedule Delivery Date]])</f>
        <v>2026</v>
      </c>
      <c r="K392" s="7">
        <v>6</v>
      </c>
      <c r="L392" s="9">
        <v>46027</v>
      </c>
      <c r="M392" s="9">
        <v>46027</v>
      </c>
    </row>
    <row r="393" spans="1:13" x14ac:dyDescent="0.25">
      <c r="A393" t="s">
        <v>9</v>
      </c>
      <c r="B393">
        <v>567</v>
      </c>
      <c r="C393" t="s">
        <v>55</v>
      </c>
      <c r="D393" s="3" t="s">
        <v>36</v>
      </c>
      <c r="E393" s="1">
        <v>2051.1999999999998</v>
      </c>
      <c r="F393">
        <v>1282</v>
      </c>
      <c r="G393" s="1">
        <v>260</v>
      </c>
      <c r="H393" s="1">
        <v>20</v>
      </c>
      <c r="I393" s="3" t="str">
        <f>TEXT(financials[[#This Row],[Schedule Delivery Date]],"mmmm")</f>
        <v>January</v>
      </c>
      <c r="J393">
        <f>YEAR(financials[[#This Row],[Schedule Delivery Date]])</f>
        <v>2026</v>
      </c>
      <c r="K393" s="7">
        <v>6</v>
      </c>
      <c r="L393" s="9">
        <v>46027</v>
      </c>
      <c r="M393" s="9">
        <v>46027</v>
      </c>
    </row>
    <row r="394" spans="1:13" x14ac:dyDescent="0.25">
      <c r="A394" t="s">
        <v>9</v>
      </c>
      <c r="B394">
        <v>568</v>
      </c>
      <c r="C394" t="s">
        <v>13</v>
      </c>
      <c r="D394" s="3" t="s">
        <v>33</v>
      </c>
      <c r="E394" s="1">
        <v>2185.6</v>
      </c>
      <c r="F394">
        <v>1366</v>
      </c>
      <c r="G394" s="1">
        <v>10</v>
      </c>
      <c r="H394" s="1">
        <v>20</v>
      </c>
      <c r="I394" s="3" t="str">
        <f>TEXT(financials[[#This Row],[Schedule Delivery Date]],"mmmm")</f>
        <v>January</v>
      </c>
      <c r="J394">
        <f>YEAR(financials[[#This Row],[Schedule Delivery Date]])</f>
        <v>2026</v>
      </c>
      <c r="K394" s="7">
        <v>6</v>
      </c>
      <c r="L394" s="9">
        <v>46027</v>
      </c>
      <c r="M394" s="9">
        <v>46027</v>
      </c>
    </row>
    <row r="395" spans="1:13" x14ac:dyDescent="0.25">
      <c r="A395" t="s">
        <v>9</v>
      </c>
      <c r="B395">
        <v>569</v>
      </c>
      <c r="C395" t="s">
        <v>13</v>
      </c>
      <c r="D395" s="3" t="s">
        <v>36</v>
      </c>
      <c r="E395" s="1">
        <v>2185.6</v>
      </c>
      <c r="F395">
        <v>1366</v>
      </c>
      <c r="G395" s="1">
        <v>260</v>
      </c>
      <c r="H395" s="1">
        <v>20</v>
      </c>
      <c r="I395" s="3" t="str">
        <f>TEXT(financials[[#This Row],[Schedule Delivery Date]],"mmmm")</f>
        <v>January</v>
      </c>
      <c r="J395">
        <f>YEAR(financials[[#This Row],[Schedule Delivery Date]])</f>
        <v>2026</v>
      </c>
      <c r="K395" s="7">
        <v>6</v>
      </c>
      <c r="L395" s="9">
        <v>46027</v>
      </c>
      <c r="M395" s="9">
        <v>46027</v>
      </c>
    </row>
    <row r="396" spans="1:13" x14ac:dyDescent="0.25">
      <c r="A396" t="s">
        <v>7</v>
      </c>
      <c r="B396">
        <v>570</v>
      </c>
      <c r="C396" t="s">
        <v>11</v>
      </c>
      <c r="D396" s="3" t="s">
        <v>31</v>
      </c>
      <c r="E396" s="1">
        <v>2559.6</v>
      </c>
      <c r="F396">
        <v>2844</v>
      </c>
      <c r="G396" s="1">
        <v>3</v>
      </c>
      <c r="H396" s="1">
        <v>15</v>
      </c>
      <c r="I396" s="3" t="str">
        <f>TEXT(financials[[#This Row],[Schedule Delivery Date]],"mmmm")</f>
        <v>January</v>
      </c>
      <c r="J396">
        <f>YEAR(financials[[#This Row],[Schedule Delivery Date]])</f>
        <v>2026</v>
      </c>
      <c r="K396" s="7">
        <v>6</v>
      </c>
      <c r="L396" s="9">
        <v>46027</v>
      </c>
      <c r="M396" s="9">
        <v>46025</v>
      </c>
    </row>
    <row r="397" spans="1:13" x14ac:dyDescent="0.25">
      <c r="A397" t="s">
        <v>7</v>
      </c>
      <c r="B397">
        <v>571</v>
      </c>
      <c r="C397" t="s">
        <v>11</v>
      </c>
      <c r="D397" s="3" t="s">
        <v>35</v>
      </c>
      <c r="E397" s="1">
        <v>2559.6</v>
      </c>
      <c r="F397">
        <v>2844</v>
      </c>
      <c r="G397" s="1">
        <v>250</v>
      </c>
      <c r="H397" s="1">
        <v>15</v>
      </c>
      <c r="I397" s="3" t="str">
        <f>TEXT(financials[[#This Row],[Schedule Delivery Date]],"mmmm")</f>
        <v>January</v>
      </c>
      <c r="J397">
        <f>YEAR(financials[[#This Row],[Schedule Delivery Date]])</f>
        <v>2026</v>
      </c>
      <c r="K397" s="7">
        <v>6</v>
      </c>
      <c r="L397" s="9">
        <v>46027</v>
      </c>
      <c r="M397" s="9">
        <v>46024</v>
      </c>
    </row>
    <row r="398" spans="1:13" x14ac:dyDescent="0.25">
      <c r="A398" t="s">
        <v>7</v>
      </c>
      <c r="B398">
        <v>572</v>
      </c>
      <c r="C398" t="s">
        <v>55</v>
      </c>
      <c r="D398" s="3" t="s">
        <v>31</v>
      </c>
      <c r="E398" s="1">
        <v>5005.6499999999996</v>
      </c>
      <c r="F398">
        <v>2567</v>
      </c>
      <c r="G398" s="1">
        <v>3</v>
      </c>
      <c r="H398" s="1">
        <v>15</v>
      </c>
      <c r="I398" s="3" t="str">
        <f>TEXT(financials[[#This Row],[Schedule Delivery Date]],"mmmm")</f>
        <v>January</v>
      </c>
      <c r="J398">
        <f>YEAR(financials[[#This Row],[Schedule Delivery Date]])</f>
        <v>2026</v>
      </c>
      <c r="K398" s="7">
        <v>6</v>
      </c>
      <c r="L398" s="9">
        <v>46027</v>
      </c>
      <c r="M398" s="9">
        <v>46028</v>
      </c>
    </row>
    <row r="399" spans="1:13" x14ac:dyDescent="0.25">
      <c r="A399" t="s">
        <v>7</v>
      </c>
      <c r="B399">
        <v>573</v>
      </c>
      <c r="C399" t="s">
        <v>55</v>
      </c>
      <c r="D399" s="3" t="s">
        <v>35</v>
      </c>
      <c r="E399" s="1">
        <v>5005.6499999999996</v>
      </c>
      <c r="F399">
        <v>2567</v>
      </c>
      <c r="G399" s="1">
        <v>250</v>
      </c>
      <c r="H399" s="1">
        <v>15</v>
      </c>
      <c r="I399" s="3" t="str">
        <f>TEXT(financials[[#This Row],[Schedule Delivery Date]],"mmmm")</f>
        <v>January</v>
      </c>
      <c r="J399">
        <f>YEAR(financials[[#This Row],[Schedule Delivery Date]])</f>
        <v>2026</v>
      </c>
      <c r="K399" s="7">
        <v>6</v>
      </c>
      <c r="L399" s="9">
        <v>46027</v>
      </c>
      <c r="M399" s="9">
        <v>46028</v>
      </c>
    </row>
    <row r="400" spans="1:13" x14ac:dyDescent="0.25">
      <c r="A400" t="s">
        <v>8</v>
      </c>
      <c r="B400">
        <v>574</v>
      </c>
      <c r="C400" t="s">
        <v>13</v>
      </c>
      <c r="D400" s="3" t="s">
        <v>33</v>
      </c>
      <c r="E400" s="1">
        <v>5887.5</v>
      </c>
      <c r="F400">
        <v>1570</v>
      </c>
      <c r="G400" s="1">
        <v>10</v>
      </c>
      <c r="H400" s="1">
        <v>125</v>
      </c>
      <c r="I400" s="3" t="str">
        <f>TEXT(financials[[#This Row],[Schedule Delivery Date]],"mmmm")</f>
        <v>January</v>
      </c>
      <c r="J400">
        <f>YEAR(financials[[#This Row],[Schedule Delivery Date]])</f>
        <v>2026</v>
      </c>
      <c r="K400" s="7">
        <v>6</v>
      </c>
      <c r="L400" s="9">
        <v>46027</v>
      </c>
      <c r="M400" s="9">
        <v>46027</v>
      </c>
    </row>
    <row r="401" spans="1:13" x14ac:dyDescent="0.25">
      <c r="A401" t="s">
        <v>8</v>
      </c>
      <c r="B401">
        <v>575</v>
      </c>
      <c r="C401" t="s">
        <v>13</v>
      </c>
      <c r="D401" s="3" t="s">
        <v>35</v>
      </c>
      <c r="E401" s="1">
        <v>5887.5</v>
      </c>
      <c r="F401">
        <v>1570</v>
      </c>
      <c r="G401" s="1">
        <v>250</v>
      </c>
      <c r="H401" s="1">
        <v>125</v>
      </c>
      <c r="I401" s="3" t="str">
        <f>TEXT(financials[[#This Row],[Schedule Delivery Date]],"mmmm")</f>
        <v>January</v>
      </c>
      <c r="J401">
        <f>YEAR(financials[[#This Row],[Schedule Delivery Date]])</f>
        <v>2026</v>
      </c>
      <c r="K401" s="7">
        <v>6</v>
      </c>
      <c r="L401" s="9">
        <v>46027</v>
      </c>
      <c r="M401" s="9">
        <v>46028</v>
      </c>
    </row>
    <row r="402" spans="1:13" x14ac:dyDescent="0.25">
      <c r="A402" t="s">
        <v>6</v>
      </c>
      <c r="B402">
        <v>576</v>
      </c>
      <c r="C402" t="s">
        <v>13</v>
      </c>
      <c r="D402" s="3" t="s">
        <v>31</v>
      </c>
      <c r="E402" s="1">
        <v>6201</v>
      </c>
      <c r="F402">
        <v>689</v>
      </c>
      <c r="G402" s="1">
        <v>3</v>
      </c>
      <c r="H402" s="1">
        <v>300</v>
      </c>
      <c r="I402" s="3" t="str">
        <f>TEXT(financials[[#This Row],[Schedule Delivery Date]],"mmmm")</f>
        <v>January</v>
      </c>
      <c r="J402">
        <f>YEAR(financials[[#This Row],[Schedule Delivery Date]])</f>
        <v>2026</v>
      </c>
      <c r="K402" s="7">
        <v>6</v>
      </c>
      <c r="L402" s="9">
        <v>46027</v>
      </c>
      <c r="M402" s="9">
        <v>46027</v>
      </c>
    </row>
    <row r="403" spans="1:13" x14ac:dyDescent="0.25">
      <c r="A403" t="s">
        <v>6</v>
      </c>
      <c r="B403">
        <v>577</v>
      </c>
      <c r="C403" t="s">
        <v>13</v>
      </c>
      <c r="D403" s="3" t="s">
        <v>33</v>
      </c>
      <c r="E403" s="1">
        <v>6201</v>
      </c>
      <c r="F403">
        <v>689</v>
      </c>
      <c r="G403" s="1">
        <v>10</v>
      </c>
      <c r="H403" s="1">
        <v>300</v>
      </c>
      <c r="I403" s="3" t="str">
        <f>TEXT(financials[[#This Row],[Schedule Delivery Date]],"mmmm")</f>
        <v>January</v>
      </c>
      <c r="J403">
        <f>YEAR(financials[[#This Row],[Schedule Delivery Date]])</f>
        <v>2026</v>
      </c>
      <c r="K403" s="7">
        <v>6</v>
      </c>
      <c r="L403" s="9">
        <v>46027</v>
      </c>
      <c r="M403" s="9">
        <v>46027</v>
      </c>
    </row>
    <row r="404" spans="1:13" x14ac:dyDescent="0.25">
      <c r="A404" t="s">
        <v>6</v>
      </c>
      <c r="B404">
        <v>578</v>
      </c>
      <c r="C404" t="s">
        <v>12</v>
      </c>
      <c r="D404" s="3" t="s">
        <v>31</v>
      </c>
      <c r="E404" s="1">
        <v>9408</v>
      </c>
      <c r="F404">
        <v>448</v>
      </c>
      <c r="G404" s="1">
        <v>3</v>
      </c>
      <c r="H404" s="1">
        <v>300</v>
      </c>
      <c r="I404" s="3" t="str">
        <f>TEXT(financials[[#This Row],[Schedule Delivery Date]],"mmmm")</f>
        <v>January</v>
      </c>
      <c r="J404">
        <f>YEAR(financials[[#This Row],[Schedule Delivery Date]])</f>
        <v>2026</v>
      </c>
      <c r="K404" s="7">
        <v>6</v>
      </c>
      <c r="L404" s="9">
        <v>46027</v>
      </c>
      <c r="M404" s="9">
        <v>46027</v>
      </c>
    </row>
    <row r="405" spans="1:13" x14ac:dyDescent="0.25">
      <c r="A405" t="s">
        <v>6</v>
      </c>
      <c r="B405">
        <v>579</v>
      </c>
      <c r="C405" t="s">
        <v>12</v>
      </c>
      <c r="D405" s="3" t="s">
        <v>33</v>
      </c>
      <c r="E405" s="1">
        <v>9408</v>
      </c>
      <c r="F405">
        <v>448</v>
      </c>
      <c r="G405" s="1">
        <v>10</v>
      </c>
      <c r="H405" s="1">
        <v>300</v>
      </c>
      <c r="I405" s="3" t="str">
        <f>TEXT(financials[[#This Row],[Schedule Delivery Date]],"mmmm")</f>
        <v>January</v>
      </c>
      <c r="J405">
        <f>YEAR(financials[[#This Row],[Schedule Delivery Date]])</f>
        <v>2026</v>
      </c>
      <c r="K405" s="7">
        <v>6</v>
      </c>
      <c r="L405" s="9">
        <v>46027</v>
      </c>
      <c r="M405" s="9">
        <v>46027</v>
      </c>
    </row>
    <row r="406" spans="1:13" x14ac:dyDescent="0.25">
      <c r="A406" t="s">
        <v>9</v>
      </c>
      <c r="B406">
        <v>580</v>
      </c>
      <c r="C406" t="s">
        <v>55</v>
      </c>
      <c r="D406" s="3" t="s">
        <v>33</v>
      </c>
      <c r="E406" s="1">
        <v>10535</v>
      </c>
      <c r="F406">
        <v>602</v>
      </c>
      <c r="G406" s="1">
        <v>10</v>
      </c>
      <c r="H406" s="1">
        <v>350</v>
      </c>
      <c r="I406" s="3" t="str">
        <f>TEXT(financials[[#This Row],[Schedule Delivery Date]],"mmmm")</f>
        <v>January</v>
      </c>
      <c r="J406">
        <f>YEAR(financials[[#This Row],[Schedule Delivery Date]])</f>
        <v>2026</v>
      </c>
      <c r="K406" s="7">
        <v>6</v>
      </c>
      <c r="L406" s="9">
        <v>46027</v>
      </c>
      <c r="M406" s="9">
        <v>46027</v>
      </c>
    </row>
    <row r="407" spans="1:13" x14ac:dyDescent="0.25">
      <c r="A407" t="s">
        <v>9</v>
      </c>
      <c r="B407">
        <v>581</v>
      </c>
      <c r="C407" t="s">
        <v>55</v>
      </c>
      <c r="D407" s="3" t="s">
        <v>34</v>
      </c>
      <c r="E407" s="1">
        <v>10535</v>
      </c>
      <c r="F407">
        <v>602</v>
      </c>
      <c r="G407" s="1">
        <v>120</v>
      </c>
      <c r="H407" s="1">
        <v>350</v>
      </c>
      <c r="I407" s="3" t="str">
        <f>TEXT(financials[[#This Row],[Schedule Delivery Date]],"mmmm")</f>
        <v>January</v>
      </c>
      <c r="J407">
        <f>YEAR(financials[[#This Row],[Schedule Delivery Date]])</f>
        <v>2026</v>
      </c>
      <c r="K407" s="7">
        <v>6</v>
      </c>
      <c r="L407" s="9">
        <v>46027</v>
      </c>
      <c r="M407" s="9">
        <v>46026</v>
      </c>
    </row>
    <row r="408" spans="1:13" x14ac:dyDescent="0.25">
      <c r="A408" t="s">
        <v>6</v>
      </c>
      <c r="B408">
        <v>582</v>
      </c>
      <c r="C408" t="s">
        <v>55</v>
      </c>
      <c r="D408" s="3" t="s">
        <v>31</v>
      </c>
      <c r="E408" s="1">
        <v>14865</v>
      </c>
      <c r="F408">
        <v>991</v>
      </c>
      <c r="G408" s="1">
        <v>3</v>
      </c>
      <c r="H408" s="1">
        <v>300</v>
      </c>
      <c r="I408" s="3" t="str">
        <f>TEXT(financials[[#This Row],[Schedule Delivery Date]],"mmmm")</f>
        <v>January</v>
      </c>
      <c r="J408">
        <f>YEAR(financials[[#This Row],[Schedule Delivery Date]])</f>
        <v>2026</v>
      </c>
      <c r="K408" s="7">
        <v>6</v>
      </c>
      <c r="L408" s="9">
        <v>46044</v>
      </c>
      <c r="M408" s="9">
        <v>46050</v>
      </c>
    </row>
    <row r="409" spans="1:13" x14ac:dyDescent="0.25">
      <c r="A409" t="s">
        <v>6</v>
      </c>
      <c r="B409">
        <v>583</v>
      </c>
      <c r="C409" t="s">
        <v>55</v>
      </c>
      <c r="D409" s="3" t="s">
        <v>33</v>
      </c>
      <c r="E409" s="1">
        <v>14865</v>
      </c>
      <c r="F409">
        <v>991</v>
      </c>
      <c r="G409" s="1">
        <v>10</v>
      </c>
      <c r="H409" s="1">
        <v>300</v>
      </c>
      <c r="I409" s="3" t="str">
        <f>TEXT(financials[[#This Row],[Schedule Delivery Date]],"mmmm")</f>
        <v>January</v>
      </c>
      <c r="J409">
        <f>YEAR(financials[[#This Row],[Schedule Delivery Date]])</f>
        <v>2026</v>
      </c>
      <c r="K409" s="7">
        <v>6</v>
      </c>
      <c r="L409" s="9">
        <v>46027</v>
      </c>
      <c r="M409" s="9">
        <v>46027</v>
      </c>
    </row>
    <row r="410" spans="1:13" x14ac:dyDescent="0.25">
      <c r="A410" t="s">
        <v>8</v>
      </c>
      <c r="B410">
        <v>584</v>
      </c>
      <c r="C410" t="s">
        <v>11</v>
      </c>
      <c r="D410" s="3" t="s">
        <v>33</v>
      </c>
      <c r="E410" s="1">
        <v>25723.75</v>
      </c>
      <c r="F410">
        <v>1583</v>
      </c>
      <c r="G410" s="1">
        <v>10</v>
      </c>
      <c r="H410" s="1">
        <v>125</v>
      </c>
      <c r="I410" s="3" t="str">
        <f>TEXT(financials[[#This Row],[Schedule Delivery Date]],"mmmm")</f>
        <v>January</v>
      </c>
      <c r="J410">
        <f>YEAR(financials[[#This Row],[Schedule Delivery Date]])</f>
        <v>2026</v>
      </c>
      <c r="K410" s="7">
        <v>6</v>
      </c>
      <c r="L410" s="9">
        <v>46027</v>
      </c>
      <c r="M410" s="9">
        <v>46027</v>
      </c>
    </row>
    <row r="411" spans="1:13" x14ac:dyDescent="0.25">
      <c r="A411" t="s">
        <v>8</v>
      </c>
      <c r="B411">
        <v>585</v>
      </c>
      <c r="C411" t="s">
        <v>11</v>
      </c>
      <c r="D411" s="3" t="s">
        <v>35</v>
      </c>
      <c r="E411" s="1">
        <v>25723.75</v>
      </c>
      <c r="F411">
        <v>1583</v>
      </c>
      <c r="G411" s="1">
        <v>250</v>
      </c>
      <c r="H411" s="1">
        <v>125</v>
      </c>
      <c r="I411" s="3" t="str">
        <f>TEXT(financials[[#This Row],[Schedule Delivery Date]],"mmmm")</f>
        <v>January</v>
      </c>
      <c r="J411">
        <f>YEAR(financials[[#This Row],[Schedule Delivery Date]])</f>
        <v>2026</v>
      </c>
      <c r="K411" s="7">
        <v>6</v>
      </c>
      <c r="L411" s="9">
        <v>46027</v>
      </c>
      <c r="M411" s="9">
        <v>46025</v>
      </c>
    </row>
    <row r="412" spans="1:13" x14ac:dyDescent="0.25">
      <c r="A412" t="s">
        <v>6</v>
      </c>
      <c r="B412">
        <v>586</v>
      </c>
      <c r="C412" t="s">
        <v>11</v>
      </c>
      <c r="D412" s="3" t="s">
        <v>31</v>
      </c>
      <c r="E412" s="1">
        <v>29538</v>
      </c>
      <c r="F412">
        <v>1094</v>
      </c>
      <c r="G412" s="1">
        <v>3</v>
      </c>
      <c r="H412" s="1">
        <v>300</v>
      </c>
      <c r="I412" s="3" t="str">
        <f>TEXT(financials[[#This Row],[Schedule Delivery Date]],"mmmm")</f>
        <v>January</v>
      </c>
      <c r="J412">
        <f>YEAR(financials[[#This Row],[Schedule Delivery Date]])</f>
        <v>2026</v>
      </c>
      <c r="K412" s="7">
        <v>6</v>
      </c>
      <c r="L412" s="9">
        <v>46027</v>
      </c>
      <c r="M412" s="9">
        <v>46025</v>
      </c>
    </row>
    <row r="413" spans="1:13" x14ac:dyDescent="0.25">
      <c r="A413" t="s">
        <v>6</v>
      </c>
      <c r="B413">
        <v>587</v>
      </c>
      <c r="C413" t="s">
        <v>11</v>
      </c>
      <c r="D413" s="3" t="s">
        <v>33</v>
      </c>
      <c r="E413" s="1">
        <v>29538</v>
      </c>
      <c r="F413">
        <v>1094</v>
      </c>
      <c r="G413" s="1">
        <v>10</v>
      </c>
      <c r="H413" s="1">
        <v>300</v>
      </c>
      <c r="I413" s="3" t="str">
        <f>TEXT(financials[[#This Row],[Schedule Delivery Date]],"mmmm")</f>
        <v>January</v>
      </c>
      <c r="J413">
        <f>YEAR(financials[[#This Row],[Schedule Delivery Date]])</f>
        <v>2026</v>
      </c>
      <c r="K413" s="7">
        <v>6</v>
      </c>
      <c r="L413" s="9">
        <v>46027</v>
      </c>
      <c r="M413" s="9">
        <v>46027</v>
      </c>
    </row>
    <row r="414" spans="1:13" x14ac:dyDescent="0.25">
      <c r="A414" t="s">
        <v>9</v>
      </c>
      <c r="B414">
        <v>588</v>
      </c>
      <c r="C414" t="s">
        <v>12</v>
      </c>
      <c r="D414" s="3" t="s">
        <v>33</v>
      </c>
      <c r="E414" s="1">
        <v>31416</v>
      </c>
      <c r="F414">
        <v>1496</v>
      </c>
      <c r="G414" s="1">
        <v>10</v>
      </c>
      <c r="H414" s="1">
        <v>350</v>
      </c>
      <c r="I414" s="3" t="str">
        <f>TEXT(financials[[#This Row],[Schedule Delivery Date]],"mmmm")</f>
        <v>January</v>
      </c>
      <c r="J414">
        <f>YEAR(financials[[#This Row],[Schedule Delivery Date]])</f>
        <v>2026</v>
      </c>
      <c r="K414" s="7">
        <v>6</v>
      </c>
      <c r="L414" s="9">
        <v>46027</v>
      </c>
      <c r="M414" s="9">
        <v>46027</v>
      </c>
    </row>
    <row r="415" spans="1:13" x14ac:dyDescent="0.25">
      <c r="A415" t="s">
        <v>9</v>
      </c>
      <c r="B415">
        <v>589</v>
      </c>
      <c r="C415" t="s">
        <v>12</v>
      </c>
      <c r="D415" s="3" t="s">
        <v>34</v>
      </c>
      <c r="E415" s="1">
        <v>31416</v>
      </c>
      <c r="F415">
        <v>1496</v>
      </c>
      <c r="G415" s="1">
        <v>120</v>
      </c>
      <c r="H415" s="1">
        <v>350</v>
      </c>
      <c r="I415" s="3" t="str">
        <f>TEXT(financials[[#This Row],[Schedule Delivery Date]],"mmmm")</f>
        <v>January</v>
      </c>
      <c r="J415">
        <f>YEAR(financials[[#This Row],[Schedule Delivery Date]])</f>
        <v>2026</v>
      </c>
      <c r="K415" s="7">
        <v>6</v>
      </c>
      <c r="L415" s="9">
        <v>46027</v>
      </c>
      <c r="M415" s="9">
        <v>46025</v>
      </c>
    </row>
    <row r="416" spans="1:13" x14ac:dyDescent="0.25">
      <c r="A416" t="s">
        <v>9</v>
      </c>
      <c r="B416">
        <v>590</v>
      </c>
      <c r="C416" t="s">
        <v>14</v>
      </c>
      <c r="D416" s="3" t="s">
        <v>31</v>
      </c>
      <c r="E416" s="1">
        <v>37212</v>
      </c>
      <c r="F416">
        <v>886</v>
      </c>
      <c r="G416" s="1">
        <v>3</v>
      </c>
      <c r="H416" s="1">
        <v>350</v>
      </c>
      <c r="I416" s="3" t="str">
        <f>TEXT(financials[[#This Row],[Schedule Delivery Date]],"mmmm")</f>
        <v>January</v>
      </c>
      <c r="J416">
        <f>YEAR(financials[[#This Row],[Schedule Delivery Date]])</f>
        <v>2026</v>
      </c>
      <c r="K416" s="7">
        <v>6</v>
      </c>
      <c r="L416" s="9">
        <v>46036</v>
      </c>
      <c r="M416" s="9">
        <v>46036</v>
      </c>
    </row>
    <row r="417" spans="1:13" x14ac:dyDescent="0.25">
      <c r="A417" t="s">
        <v>9</v>
      </c>
      <c r="B417">
        <v>591</v>
      </c>
      <c r="C417" t="s">
        <v>14</v>
      </c>
      <c r="D417" s="3" t="s">
        <v>33</v>
      </c>
      <c r="E417" s="1">
        <v>37212</v>
      </c>
      <c r="F417">
        <v>886</v>
      </c>
      <c r="G417" s="1">
        <v>10</v>
      </c>
      <c r="H417" s="1">
        <v>350</v>
      </c>
      <c r="I417" s="3" t="str">
        <f>TEXT(financials[[#This Row],[Schedule Delivery Date]],"mmmm")</f>
        <v>January</v>
      </c>
      <c r="J417">
        <f>YEAR(financials[[#This Row],[Schedule Delivery Date]])</f>
        <v>2026</v>
      </c>
      <c r="K417" s="7">
        <v>6</v>
      </c>
      <c r="L417" s="9">
        <v>46027</v>
      </c>
      <c r="M417" s="9">
        <v>46026</v>
      </c>
    </row>
    <row r="418" spans="1:13" x14ac:dyDescent="0.25">
      <c r="A418" t="s">
        <v>6</v>
      </c>
      <c r="B418">
        <v>592</v>
      </c>
      <c r="C418" t="s">
        <v>14</v>
      </c>
      <c r="D418" s="3" t="s">
        <v>33</v>
      </c>
      <c r="E418" s="1">
        <v>59040</v>
      </c>
      <c r="F418">
        <v>2460</v>
      </c>
      <c r="G418" s="1">
        <v>10</v>
      </c>
      <c r="H418" s="1">
        <v>300</v>
      </c>
      <c r="I418" s="3" t="str">
        <f>TEXT(financials[[#This Row],[Schedule Delivery Date]],"mmmm")</f>
        <v>January</v>
      </c>
      <c r="J418">
        <f>YEAR(financials[[#This Row],[Schedule Delivery Date]])</f>
        <v>2026</v>
      </c>
      <c r="K418" s="7">
        <v>6</v>
      </c>
      <c r="L418" s="9">
        <v>46027</v>
      </c>
      <c r="M418" s="9">
        <v>46026</v>
      </c>
    </row>
    <row r="419" spans="1:13" x14ac:dyDescent="0.25">
      <c r="A419" t="s">
        <v>6</v>
      </c>
      <c r="B419">
        <v>593</v>
      </c>
      <c r="C419" t="s">
        <v>14</v>
      </c>
      <c r="D419" s="3" t="s">
        <v>36</v>
      </c>
      <c r="E419" s="1">
        <v>59040</v>
      </c>
      <c r="F419">
        <v>2460</v>
      </c>
      <c r="G419" s="1">
        <v>260</v>
      </c>
      <c r="H419" s="1">
        <v>300</v>
      </c>
      <c r="I419" s="3" t="str">
        <f>TEXT(financials[[#This Row],[Schedule Delivery Date]],"mmmm")</f>
        <v>January</v>
      </c>
      <c r="J419">
        <f>YEAR(financials[[#This Row],[Schedule Delivery Date]])</f>
        <v>2026</v>
      </c>
      <c r="K419" s="7">
        <v>6</v>
      </c>
      <c r="L419" s="9">
        <v>46027</v>
      </c>
      <c r="M419" s="9">
        <v>46025</v>
      </c>
    </row>
    <row r="420" spans="1:13" x14ac:dyDescent="0.25">
      <c r="A420" t="s">
        <v>9</v>
      </c>
      <c r="B420">
        <v>594</v>
      </c>
      <c r="C420" t="s">
        <v>11</v>
      </c>
      <c r="D420" s="3" t="s">
        <v>33</v>
      </c>
      <c r="E420" s="1">
        <v>119756</v>
      </c>
      <c r="F420">
        <v>2632</v>
      </c>
      <c r="G420" s="1">
        <v>10</v>
      </c>
      <c r="H420" s="1">
        <v>350</v>
      </c>
      <c r="I420" s="3" t="str">
        <f>TEXT(financials[[#This Row],[Schedule Delivery Date]],"mmmm")</f>
        <v>January</v>
      </c>
      <c r="J420">
        <f>YEAR(financials[[#This Row],[Schedule Delivery Date]])</f>
        <v>2026</v>
      </c>
      <c r="K420" s="7">
        <v>6</v>
      </c>
      <c r="L420" s="9">
        <v>46027</v>
      </c>
      <c r="M420" s="9">
        <v>46026</v>
      </c>
    </row>
    <row r="421" spans="1:13" x14ac:dyDescent="0.25">
      <c r="A421" t="s">
        <v>9</v>
      </c>
      <c r="B421">
        <v>595</v>
      </c>
      <c r="C421" t="s">
        <v>11</v>
      </c>
      <c r="D421" s="3" t="s">
        <v>34</v>
      </c>
      <c r="E421" s="1">
        <v>119756</v>
      </c>
      <c r="F421">
        <v>2632</v>
      </c>
      <c r="G421" s="1">
        <v>120</v>
      </c>
      <c r="H421" s="1">
        <v>350</v>
      </c>
      <c r="I421" s="3" t="str">
        <f>TEXT(financials[[#This Row],[Schedule Delivery Date]],"mmmm")</f>
        <v>January</v>
      </c>
      <c r="J421">
        <f>YEAR(financials[[#This Row],[Schedule Delivery Date]])</f>
        <v>2026</v>
      </c>
      <c r="K421" s="7">
        <v>6</v>
      </c>
      <c r="L421" s="9">
        <v>46027</v>
      </c>
      <c r="M421" s="9">
        <v>46027</v>
      </c>
    </row>
    <row r="422" spans="1:13" x14ac:dyDescent="0.25">
      <c r="A422" t="s">
        <v>8</v>
      </c>
      <c r="B422">
        <v>596</v>
      </c>
      <c r="C422" t="s">
        <v>11</v>
      </c>
      <c r="D422" s="3" t="s">
        <v>32</v>
      </c>
      <c r="E422" s="1">
        <v>0</v>
      </c>
      <c r="F422">
        <v>2665.5</v>
      </c>
      <c r="G422" s="1">
        <v>5</v>
      </c>
      <c r="H422" s="1">
        <v>125</v>
      </c>
      <c r="I422" s="3" t="str">
        <f>TEXT(financials[[#This Row],[Schedule Delivery Date]],"mmmm")</f>
        <v>January</v>
      </c>
      <c r="J422">
        <f>YEAR(financials[[#This Row],[Schedule Delivery Date]])</f>
        <v>2026</v>
      </c>
      <c r="K422" s="7">
        <v>7</v>
      </c>
      <c r="L422" s="9">
        <v>46027</v>
      </c>
      <c r="M422" s="9">
        <v>46025</v>
      </c>
    </row>
    <row r="423" spans="1:13" x14ac:dyDescent="0.25">
      <c r="A423" t="s">
        <v>10</v>
      </c>
      <c r="B423">
        <v>597</v>
      </c>
      <c r="C423" t="s">
        <v>13</v>
      </c>
      <c r="D423" s="3" t="s">
        <v>33</v>
      </c>
      <c r="E423" s="1">
        <v>0</v>
      </c>
      <c r="F423">
        <v>367</v>
      </c>
      <c r="G423" s="1">
        <v>10</v>
      </c>
      <c r="H423" s="1">
        <v>12</v>
      </c>
      <c r="I423" s="3" t="str">
        <f>TEXT(financials[[#This Row],[Schedule Delivery Date]],"mmmm")</f>
        <v>January</v>
      </c>
      <c r="J423">
        <f>YEAR(financials[[#This Row],[Schedule Delivery Date]])</f>
        <v>2026</v>
      </c>
      <c r="K423" s="7">
        <v>7</v>
      </c>
      <c r="L423" s="9">
        <v>46027</v>
      </c>
      <c r="M423" s="9">
        <v>46027</v>
      </c>
    </row>
    <row r="424" spans="1:13" x14ac:dyDescent="0.25">
      <c r="A424" t="s">
        <v>9</v>
      </c>
      <c r="B424">
        <v>598</v>
      </c>
      <c r="C424" t="s">
        <v>13</v>
      </c>
      <c r="D424" s="3" t="s">
        <v>36</v>
      </c>
      <c r="E424" s="1">
        <v>0</v>
      </c>
      <c r="F424">
        <v>1686</v>
      </c>
      <c r="G424" s="1">
        <v>260</v>
      </c>
      <c r="H424" s="1">
        <v>7</v>
      </c>
      <c r="I424" s="3" t="str">
        <f>TEXT(financials[[#This Row],[Schedule Delivery Date]],"mmmm")</f>
        <v>January</v>
      </c>
      <c r="J424">
        <f>YEAR(financials[[#This Row],[Schedule Delivery Date]])</f>
        <v>2026</v>
      </c>
      <c r="K424" s="7">
        <v>7</v>
      </c>
      <c r="L424" s="9">
        <v>46027</v>
      </c>
      <c r="M424" s="9">
        <v>46027</v>
      </c>
    </row>
    <row r="425" spans="1:13" x14ac:dyDescent="0.25">
      <c r="A425" t="s">
        <v>9</v>
      </c>
      <c r="B425">
        <v>599</v>
      </c>
      <c r="C425" t="s">
        <v>55</v>
      </c>
      <c r="D425" s="3" t="s">
        <v>31</v>
      </c>
      <c r="E425" s="1">
        <v>177.03</v>
      </c>
      <c r="F425">
        <v>2529</v>
      </c>
      <c r="G425" s="1">
        <v>3</v>
      </c>
      <c r="H425" s="1">
        <v>7</v>
      </c>
      <c r="I425" s="3" t="str">
        <f>TEXT(financials[[#This Row],[Schedule Delivery Date]],"mmmm")</f>
        <v>January</v>
      </c>
      <c r="J425">
        <f>YEAR(financials[[#This Row],[Schedule Delivery Date]])</f>
        <v>2026</v>
      </c>
      <c r="K425" s="7">
        <v>7</v>
      </c>
      <c r="L425" s="9">
        <v>46027</v>
      </c>
      <c r="M425" s="9">
        <v>46028</v>
      </c>
    </row>
    <row r="426" spans="1:13" x14ac:dyDescent="0.25">
      <c r="A426" t="s">
        <v>9</v>
      </c>
      <c r="B426">
        <v>600</v>
      </c>
      <c r="C426" t="s">
        <v>12</v>
      </c>
      <c r="D426" s="3" t="s">
        <v>32</v>
      </c>
      <c r="E426" s="1">
        <v>275.10000000000002</v>
      </c>
      <c r="F426">
        <v>1375.5</v>
      </c>
      <c r="G426" s="1">
        <v>5</v>
      </c>
      <c r="H426" s="1">
        <v>20</v>
      </c>
      <c r="I426" s="3" t="str">
        <f>TEXT(financials[[#This Row],[Schedule Delivery Date]],"mmmm")</f>
        <v>January</v>
      </c>
      <c r="J426">
        <f>YEAR(financials[[#This Row],[Schedule Delivery Date]])</f>
        <v>2026</v>
      </c>
      <c r="K426" s="7">
        <v>7</v>
      </c>
      <c r="L426" s="9">
        <v>46027</v>
      </c>
      <c r="M426" s="9">
        <v>46026</v>
      </c>
    </row>
    <row r="427" spans="1:13" x14ac:dyDescent="0.25">
      <c r="A427" t="s">
        <v>10</v>
      </c>
      <c r="B427">
        <v>601</v>
      </c>
      <c r="C427" t="s">
        <v>55</v>
      </c>
      <c r="D427" s="3" t="s">
        <v>33</v>
      </c>
      <c r="E427" s="1">
        <v>493.02</v>
      </c>
      <c r="F427">
        <v>1369.5</v>
      </c>
      <c r="G427" s="1">
        <v>10</v>
      </c>
      <c r="H427" s="1">
        <v>12</v>
      </c>
      <c r="I427" s="3" t="str">
        <f>TEXT(financials[[#This Row],[Schedule Delivery Date]],"mmmm")</f>
        <v>January</v>
      </c>
      <c r="J427">
        <f>YEAR(financials[[#This Row],[Schedule Delivery Date]])</f>
        <v>2026</v>
      </c>
      <c r="K427" s="7">
        <v>7</v>
      </c>
      <c r="L427" s="9">
        <v>46027</v>
      </c>
      <c r="M427" s="9">
        <v>46027</v>
      </c>
    </row>
    <row r="428" spans="1:13" x14ac:dyDescent="0.25">
      <c r="A428" t="s">
        <v>9</v>
      </c>
      <c r="B428">
        <v>602</v>
      </c>
      <c r="C428" t="s">
        <v>11</v>
      </c>
      <c r="D428" s="3" t="s">
        <v>31</v>
      </c>
      <c r="E428" s="1">
        <v>515.97</v>
      </c>
      <c r="F428">
        <v>819</v>
      </c>
      <c r="G428" s="1">
        <v>3</v>
      </c>
      <c r="H428" s="1">
        <v>7</v>
      </c>
      <c r="I428" s="3" t="str">
        <f>TEXT(financials[[#This Row],[Schedule Delivery Date]],"mmmm")</f>
        <v>January</v>
      </c>
      <c r="J428">
        <f>YEAR(financials[[#This Row],[Schedule Delivery Date]])</f>
        <v>2026</v>
      </c>
      <c r="K428" s="7">
        <v>7</v>
      </c>
      <c r="L428" s="9">
        <v>46027</v>
      </c>
      <c r="M428" s="9">
        <v>46024</v>
      </c>
    </row>
    <row r="429" spans="1:13" x14ac:dyDescent="0.25">
      <c r="A429" t="s">
        <v>9</v>
      </c>
      <c r="B429">
        <v>603</v>
      </c>
      <c r="C429" t="s">
        <v>14</v>
      </c>
      <c r="D429" s="3" t="s">
        <v>36</v>
      </c>
      <c r="E429" s="1">
        <v>589.04999999999995</v>
      </c>
      <c r="F429">
        <v>1683</v>
      </c>
      <c r="G429" s="1">
        <v>260</v>
      </c>
      <c r="H429" s="1">
        <v>7</v>
      </c>
      <c r="I429" s="3" t="str">
        <f>TEXT(financials[[#This Row],[Schedule Delivery Date]],"mmmm")</f>
        <v>January</v>
      </c>
      <c r="J429">
        <f>YEAR(financials[[#This Row],[Schedule Delivery Date]])</f>
        <v>2026</v>
      </c>
      <c r="K429" s="7">
        <v>7</v>
      </c>
      <c r="L429" s="9">
        <v>46027</v>
      </c>
      <c r="M429" s="9">
        <v>46024</v>
      </c>
    </row>
    <row r="430" spans="1:13" x14ac:dyDescent="0.25">
      <c r="A430" t="s">
        <v>9</v>
      </c>
      <c r="B430">
        <v>604</v>
      </c>
      <c r="C430" t="s">
        <v>55</v>
      </c>
      <c r="D430" s="3" t="s">
        <v>35</v>
      </c>
      <c r="E430" s="1">
        <v>698.40000000000009</v>
      </c>
      <c r="F430">
        <v>436.5</v>
      </c>
      <c r="G430" s="1">
        <v>250</v>
      </c>
      <c r="H430" s="1">
        <v>20</v>
      </c>
      <c r="I430" s="3" t="str">
        <f>TEXT(financials[[#This Row],[Schedule Delivery Date]],"mmmm")</f>
        <v>January</v>
      </c>
      <c r="J430">
        <f>YEAR(financials[[#This Row],[Schedule Delivery Date]])</f>
        <v>2026</v>
      </c>
      <c r="K430" s="7">
        <v>7</v>
      </c>
      <c r="L430" s="9">
        <v>46027</v>
      </c>
      <c r="M430" s="9">
        <v>46026</v>
      </c>
    </row>
    <row r="431" spans="1:13" x14ac:dyDescent="0.25">
      <c r="A431" t="s">
        <v>10</v>
      </c>
      <c r="B431">
        <v>605</v>
      </c>
      <c r="C431" t="s">
        <v>14</v>
      </c>
      <c r="D431" s="3" t="s">
        <v>33</v>
      </c>
      <c r="E431" s="1">
        <v>890.76</v>
      </c>
      <c r="F431">
        <v>571</v>
      </c>
      <c r="G431" s="1">
        <v>10</v>
      </c>
      <c r="H431" s="1">
        <v>12</v>
      </c>
      <c r="I431" s="3" t="str">
        <f>TEXT(financials[[#This Row],[Schedule Delivery Date]],"mmmm")</f>
        <v>January</v>
      </c>
      <c r="J431">
        <f>YEAR(financials[[#This Row],[Schedule Delivery Date]])</f>
        <v>2026</v>
      </c>
      <c r="K431" s="7">
        <v>7</v>
      </c>
      <c r="L431" s="9">
        <v>46027</v>
      </c>
      <c r="M431" s="9">
        <v>46025</v>
      </c>
    </row>
    <row r="432" spans="1:13" x14ac:dyDescent="0.25">
      <c r="A432" t="s">
        <v>7</v>
      </c>
      <c r="B432">
        <v>606</v>
      </c>
      <c r="C432" t="s">
        <v>14</v>
      </c>
      <c r="D432" s="3" t="s">
        <v>35</v>
      </c>
      <c r="E432" s="1">
        <v>961.5</v>
      </c>
      <c r="F432">
        <v>641</v>
      </c>
      <c r="G432" s="1">
        <v>250</v>
      </c>
      <c r="H432" s="1">
        <v>15</v>
      </c>
      <c r="I432" s="3" t="str">
        <f>TEXT(financials[[#This Row],[Schedule Delivery Date]],"mmmm")</f>
        <v>January</v>
      </c>
      <c r="J432">
        <f>YEAR(financials[[#This Row],[Schedule Delivery Date]])</f>
        <v>2026</v>
      </c>
      <c r="K432" s="7">
        <v>7</v>
      </c>
      <c r="L432" s="9">
        <v>46027</v>
      </c>
      <c r="M432" s="9">
        <v>46026</v>
      </c>
    </row>
    <row r="433" spans="1:13" x14ac:dyDescent="0.25">
      <c r="A433" t="s">
        <v>9</v>
      </c>
      <c r="B433">
        <v>607</v>
      </c>
      <c r="C433" t="s">
        <v>13</v>
      </c>
      <c r="D433" s="3" t="s">
        <v>32</v>
      </c>
      <c r="E433" s="1">
        <v>1032</v>
      </c>
      <c r="F433">
        <v>645</v>
      </c>
      <c r="G433" s="1">
        <v>5</v>
      </c>
      <c r="H433" s="1">
        <v>20</v>
      </c>
      <c r="I433" s="3" t="str">
        <f>TEXT(financials[[#This Row],[Schedule Delivery Date]],"mmmm")</f>
        <v>January</v>
      </c>
      <c r="J433">
        <f>YEAR(financials[[#This Row],[Schedule Delivery Date]])</f>
        <v>2026</v>
      </c>
      <c r="K433" s="7">
        <v>7</v>
      </c>
      <c r="L433" s="9">
        <v>46027</v>
      </c>
      <c r="M433" s="9">
        <v>46025</v>
      </c>
    </row>
    <row r="434" spans="1:13" x14ac:dyDescent="0.25">
      <c r="A434" t="s">
        <v>7</v>
      </c>
      <c r="B434">
        <v>608</v>
      </c>
      <c r="C434" t="s">
        <v>13</v>
      </c>
      <c r="D434" s="3" t="s">
        <v>35</v>
      </c>
      <c r="E434" s="1">
        <v>1107</v>
      </c>
      <c r="F434">
        <v>492</v>
      </c>
      <c r="G434" s="1">
        <v>250</v>
      </c>
      <c r="H434" s="1">
        <v>15</v>
      </c>
      <c r="I434" s="3" t="str">
        <f>TEXT(financials[[#This Row],[Schedule Delivery Date]],"mmmm")</f>
        <v>January</v>
      </c>
      <c r="J434">
        <f>YEAR(financials[[#This Row],[Schedule Delivery Date]])</f>
        <v>2026</v>
      </c>
      <c r="K434" s="7">
        <v>7</v>
      </c>
      <c r="L434" s="9">
        <v>46027</v>
      </c>
      <c r="M434" s="9">
        <v>46027</v>
      </c>
    </row>
    <row r="435" spans="1:13" x14ac:dyDescent="0.25">
      <c r="A435" t="s">
        <v>7</v>
      </c>
      <c r="B435">
        <v>609</v>
      </c>
      <c r="C435" t="s">
        <v>11</v>
      </c>
      <c r="D435" s="3" t="s">
        <v>36</v>
      </c>
      <c r="E435" s="1">
        <v>2201.1750000000002</v>
      </c>
      <c r="F435">
        <v>1630.5</v>
      </c>
      <c r="G435" s="1">
        <v>260</v>
      </c>
      <c r="H435" s="1">
        <v>15</v>
      </c>
      <c r="I435" s="3" t="str">
        <f>TEXT(financials[[#This Row],[Schedule Delivery Date]],"mmmm")</f>
        <v>January</v>
      </c>
      <c r="J435">
        <f>YEAR(financials[[#This Row],[Schedule Delivery Date]])</f>
        <v>2026</v>
      </c>
      <c r="K435" s="7">
        <v>7</v>
      </c>
      <c r="L435" s="9">
        <v>46027</v>
      </c>
      <c r="M435" s="9">
        <v>46027</v>
      </c>
    </row>
    <row r="436" spans="1:13" x14ac:dyDescent="0.25">
      <c r="A436" t="s">
        <v>8</v>
      </c>
      <c r="B436">
        <v>610</v>
      </c>
      <c r="C436" t="s">
        <v>14</v>
      </c>
      <c r="D436" s="3" t="s">
        <v>33</v>
      </c>
      <c r="E436" s="1">
        <v>2278.75</v>
      </c>
      <c r="F436">
        <v>1823</v>
      </c>
      <c r="G436" s="1">
        <v>10</v>
      </c>
      <c r="H436" s="1">
        <v>125</v>
      </c>
      <c r="I436" s="3" t="str">
        <f>TEXT(financials[[#This Row],[Schedule Delivery Date]],"mmmm")</f>
        <v>January</v>
      </c>
      <c r="J436">
        <f>YEAR(financials[[#This Row],[Schedule Delivery Date]])</f>
        <v>2026</v>
      </c>
      <c r="K436" s="7">
        <v>7</v>
      </c>
      <c r="L436" s="9">
        <v>46027</v>
      </c>
      <c r="M436" s="9">
        <v>46026</v>
      </c>
    </row>
    <row r="437" spans="1:13" x14ac:dyDescent="0.25">
      <c r="A437" t="s">
        <v>9</v>
      </c>
      <c r="B437">
        <v>611</v>
      </c>
      <c r="C437" t="s">
        <v>11</v>
      </c>
      <c r="D437" s="3" t="s">
        <v>35</v>
      </c>
      <c r="E437" s="1">
        <v>2596.5</v>
      </c>
      <c r="F437">
        <v>865.5</v>
      </c>
      <c r="G437" s="1">
        <v>250</v>
      </c>
      <c r="H437" s="1">
        <v>20</v>
      </c>
      <c r="I437" s="3" t="str">
        <f>TEXT(financials[[#This Row],[Schedule Delivery Date]],"mmmm")</f>
        <v>January</v>
      </c>
      <c r="J437">
        <f>YEAR(financials[[#This Row],[Schedule Delivery Date]])</f>
        <v>2026</v>
      </c>
      <c r="K437" s="7">
        <v>7</v>
      </c>
      <c r="L437" s="9">
        <v>46027</v>
      </c>
      <c r="M437" s="9">
        <v>46024</v>
      </c>
    </row>
    <row r="438" spans="1:13" x14ac:dyDescent="0.25">
      <c r="A438" t="s">
        <v>9</v>
      </c>
      <c r="B438">
        <v>612</v>
      </c>
      <c r="C438" t="s">
        <v>12</v>
      </c>
      <c r="D438" s="3" t="s">
        <v>36</v>
      </c>
      <c r="E438" s="1">
        <v>2874.06</v>
      </c>
      <c r="F438">
        <v>3421.5</v>
      </c>
      <c r="G438" s="1">
        <v>260</v>
      </c>
      <c r="H438" s="1">
        <v>7</v>
      </c>
      <c r="I438" s="3" t="str">
        <f>TEXT(financials[[#This Row],[Schedule Delivery Date]],"mmmm")</f>
        <v>January</v>
      </c>
      <c r="J438">
        <f>YEAR(financials[[#This Row],[Schedule Delivery Date]])</f>
        <v>2026</v>
      </c>
      <c r="K438" s="7">
        <v>7</v>
      </c>
      <c r="L438" s="9">
        <v>46027</v>
      </c>
      <c r="M438" s="9">
        <v>46024</v>
      </c>
    </row>
    <row r="439" spans="1:13" x14ac:dyDescent="0.25">
      <c r="A439" t="s">
        <v>10</v>
      </c>
      <c r="B439">
        <v>613</v>
      </c>
      <c r="C439" t="s">
        <v>12</v>
      </c>
      <c r="D439" s="3" t="s">
        <v>33</v>
      </c>
      <c r="E439" s="1">
        <v>3201.66</v>
      </c>
      <c r="F439">
        <v>2425.5</v>
      </c>
      <c r="G439" s="1">
        <v>10</v>
      </c>
      <c r="H439" s="1">
        <v>12</v>
      </c>
      <c r="I439" s="3" t="str">
        <f>TEXT(financials[[#This Row],[Schedule Delivery Date]],"mmmm")</f>
        <v>January</v>
      </c>
      <c r="J439">
        <f>YEAR(financials[[#This Row],[Schedule Delivery Date]])</f>
        <v>2026</v>
      </c>
      <c r="K439" s="7">
        <v>7</v>
      </c>
      <c r="L439" s="9">
        <v>46027</v>
      </c>
      <c r="M439" s="9">
        <v>46024</v>
      </c>
    </row>
    <row r="440" spans="1:13" x14ac:dyDescent="0.25">
      <c r="A440" t="s">
        <v>7</v>
      </c>
      <c r="B440">
        <v>614</v>
      </c>
      <c r="C440" t="s">
        <v>55</v>
      </c>
      <c r="D440" s="3" t="s">
        <v>36</v>
      </c>
      <c r="E440" s="1">
        <v>5279.1749999999993</v>
      </c>
      <c r="F440">
        <v>3199.5</v>
      </c>
      <c r="G440" s="1">
        <v>260</v>
      </c>
      <c r="H440" s="1">
        <v>15</v>
      </c>
      <c r="I440" s="3" t="str">
        <f>TEXT(financials[[#This Row],[Schedule Delivery Date]],"mmmm")</f>
        <v>January</v>
      </c>
      <c r="J440">
        <f>YEAR(financials[[#This Row],[Schedule Delivery Date]])</f>
        <v>2026</v>
      </c>
      <c r="K440" s="7">
        <v>7</v>
      </c>
      <c r="L440" s="9">
        <v>46027</v>
      </c>
      <c r="M440" s="9">
        <v>46025</v>
      </c>
    </row>
    <row r="441" spans="1:13" x14ac:dyDescent="0.25">
      <c r="A441" t="s">
        <v>10</v>
      </c>
      <c r="B441">
        <v>615</v>
      </c>
      <c r="C441" t="s">
        <v>11</v>
      </c>
      <c r="D441" s="3" t="s">
        <v>33</v>
      </c>
      <c r="E441" s="1">
        <v>5314.32</v>
      </c>
      <c r="F441">
        <v>4026</v>
      </c>
      <c r="G441" s="1">
        <v>10</v>
      </c>
      <c r="H441" s="1">
        <v>12</v>
      </c>
      <c r="I441" s="3" t="str">
        <f>TEXT(financials[[#This Row],[Schedule Delivery Date]],"mmmm")</f>
        <v>January</v>
      </c>
      <c r="J441">
        <f>YEAR(financials[[#This Row],[Schedule Delivery Date]])</f>
        <v>2026</v>
      </c>
      <c r="K441" s="7">
        <v>7</v>
      </c>
      <c r="L441" s="9">
        <v>46027</v>
      </c>
      <c r="M441" s="9">
        <v>46024</v>
      </c>
    </row>
    <row r="442" spans="1:13" x14ac:dyDescent="0.25">
      <c r="A442" t="s">
        <v>9</v>
      </c>
      <c r="B442">
        <v>616</v>
      </c>
      <c r="C442" t="s">
        <v>14</v>
      </c>
      <c r="D442" s="3" t="s">
        <v>32</v>
      </c>
      <c r="E442" s="1">
        <v>5863</v>
      </c>
      <c r="F442">
        <v>2255</v>
      </c>
      <c r="G442" s="1">
        <v>5</v>
      </c>
      <c r="H442" s="1">
        <v>20</v>
      </c>
      <c r="I442" s="3" t="str">
        <f>TEXT(financials[[#This Row],[Schedule Delivery Date]],"mmmm")</f>
        <v>January</v>
      </c>
      <c r="J442">
        <f>YEAR(financials[[#This Row],[Schedule Delivery Date]])</f>
        <v>2026</v>
      </c>
      <c r="K442" s="7">
        <v>7</v>
      </c>
      <c r="L442" s="9">
        <v>46027</v>
      </c>
      <c r="M442" s="9">
        <v>46026</v>
      </c>
    </row>
    <row r="443" spans="1:13" x14ac:dyDescent="0.25">
      <c r="A443" t="s">
        <v>7</v>
      </c>
      <c r="B443">
        <v>617</v>
      </c>
      <c r="C443" t="s">
        <v>12</v>
      </c>
      <c r="D443" s="3" t="s">
        <v>35</v>
      </c>
      <c r="E443" s="1">
        <v>6974.0999999999995</v>
      </c>
      <c r="F443">
        <v>3874.5</v>
      </c>
      <c r="G443" s="1">
        <v>250</v>
      </c>
      <c r="H443" s="1">
        <v>15</v>
      </c>
      <c r="I443" s="3" t="str">
        <f>TEXT(financials[[#This Row],[Schedule Delivery Date]],"mmmm")</f>
        <v>January</v>
      </c>
      <c r="J443">
        <f>YEAR(financials[[#This Row],[Schedule Delivery Date]])</f>
        <v>2026</v>
      </c>
      <c r="K443" s="7">
        <v>7</v>
      </c>
      <c r="L443" s="9">
        <v>46027</v>
      </c>
      <c r="M443" s="9">
        <v>46025</v>
      </c>
    </row>
    <row r="444" spans="1:13" x14ac:dyDescent="0.25">
      <c r="A444" t="s">
        <v>8</v>
      </c>
      <c r="B444">
        <v>618</v>
      </c>
      <c r="C444" t="s">
        <v>12</v>
      </c>
      <c r="D444" s="3" t="s">
        <v>33</v>
      </c>
      <c r="E444" s="1">
        <v>14940</v>
      </c>
      <c r="F444">
        <v>2988</v>
      </c>
      <c r="G444" s="1">
        <v>10</v>
      </c>
      <c r="H444" s="1">
        <v>125</v>
      </c>
      <c r="I444" s="3" t="str">
        <f>TEXT(financials[[#This Row],[Schedule Delivery Date]],"mmmm")</f>
        <v>January</v>
      </c>
      <c r="J444">
        <f>YEAR(financials[[#This Row],[Schedule Delivery Date]])</f>
        <v>2026</v>
      </c>
      <c r="K444" s="7">
        <v>7</v>
      </c>
      <c r="L444" s="9">
        <v>46027</v>
      </c>
      <c r="M444" s="9">
        <v>46025</v>
      </c>
    </row>
    <row r="445" spans="1:13" x14ac:dyDescent="0.25">
      <c r="A445" t="s">
        <v>9</v>
      </c>
      <c r="B445">
        <v>619</v>
      </c>
      <c r="C445" t="s">
        <v>12</v>
      </c>
      <c r="D445" s="3" t="s">
        <v>34</v>
      </c>
      <c r="E445" s="1">
        <v>22365</v>
      </c>
      <c r="F445">
        <v>639</v>
      </c>
      <c r="G445" s="1">
        <v>120</v>
      </c>
      <c r="H445" s="1">
        <v>350</v>
      </c>
      <c r="I445" s="3" t="str">
        <f>TEXT(financials[[#This Row],[Schedule Delivery Date]],"mmmm")</f>
        <v>January</v>
      </c>
      <c r="J445">
        <f>YEAR(financials[[#This Row],[Schedule Delivery Date]])</f>
        <v>2026</v>
      </c>
      <c r="K445" s="7">
        <v>7</v>
      </c>
      <c r="L445" s="9">
        <v>46027</v>
      </c>
      <c r="M445" s="9">
        <v>46024</v>
      </c>
    </row>
    <row r="446" spans="1:13" x14ac:dyDescent="0.25">
      <c r="A446" t="s">
        <v>8</v>
      </c>
      <c r="B446">
        <v>620</v>
      </c>
      <c r="C446" t="s">
        <v>55</v>
      </c>
      <c r="D446" s="3" t="s">
        <v>32</v>
      </c>
      <c r="E446" s="1">
        <v>22668.75</v>
      </c>
      <c r="F446">
        <v>3627</v>
      </c>
      <c r="G446" s="1">
        <v>5</v>
      </c>
      <c r="H446" s="1">
        <v>125</v>
      </c>
      <c r="I446" s="3" t="str">
        <f>TEXT(financials[[#This Row],[Schedule Delivery Date]],"mmmm")</f>
        <v>January</v>
      </c>
      <c r="J446">
        <f>YEAR(financials[[#This Row],[Schedule Delivery Date]])</f>
        <v>2026</v>
      </c>
      <c r="K446" s="7">
        <v>7</v>
      </c>
      <c r="L446" s="9">
        <v>46027</v>
      </c>
      <c r="M446" s="9">
        <v>46024</v>
      </c>
    </row>
    <row r="447" spans="1:13" x14ac:dyDescent="0.25">
      <c r="A447" t="s">
        <v>8</v>
      </c>
      <c r="B447">
        <v>621</v>
      </c>
      <c r="C447" t="s">
        <v>13</v>
      </c>
      <c r="D447" s="3" t="s">
        <v>33</v>
      </c>
      <c r="E447" s="1">
        <v>30738.75</v>
      </c>
      <c r="F447">
        <v>3513</v>
      </c>
      <c r="G447" s="1">
        <v>10</v>
      </c>
      <c r="H447" s="1">
        <v>125</v>
      </c>
      <c r="I447" s="3" t="str">
        <f>TEXT(financials[[#This Row],[Schedule Delivery Date]],"mmmm")</f>
        <v>January</v>
      </c>
      <c r="J447">
        <f>YEAR(financials[[#This Row],[Schedule Delivery Date]])</f>
        <v>2026</v>
      </c>
      <c r="K447" s="7">
        <v>7</v>
      </c>
      <c r="L447" s="9">
        <v>46027</v>
      </c>
      <c r="M447" s="9">
        <v>46024</v>
      </c>
    </row>
    <row r="448" spans="1:13" x14ac:dyDescent="0.25">
      <c r="A448" t="s">
        <v>6</v>
      </c>
      <c r="B448">
        <v>622</v>
      </c>
      <c r="C448" t="s">
        <v>14</v>
      </c>
      <c r="D448" s="3" t="s">
        <v>31</v>
      </c>
      <c r="E448" s="1">
        <v>33642</v>
      </c>
      <c r="F448">
        <v>801</v>
      </c>
      <c r="G448" s="1">
        <v>3</v>
      </c>
      <c r="H448" s="1">
        <v>300</v>
      </c>
      <c r="I448" s="3" t="str">
        <f>TEXT(financials[[#This Row],[Schedule Delivery Date]],"mmmm")</f>
        <v>January</v>
      </c>
      <c r="J448">
        <f>YEAR(financials[[#This Row],[Schedule Delivery Date]])</f>
        <v>2026</v>
      </c>
      <c r="K448" s="7">
        <v>7</v>
      </c>
      <c r="L448" s="9">
        <v>46027</v>
      </c>
      <c r="M448" s="9">
        <v>46024</v>
      </c>
    </row>
    <row r="449" spans="1:13" x14ac:dyDescent="0.25">
      <c r="A449" t="s">
        <v>6</v>
      </c>
      <c r="B449">
        <v>623</v>
      </c>
      <c r="C449" t="s">
        <v>12</v>
      </c>
      <c r="D449" s="3" t="s">
        <v>34</v>
      </c>
      <c r="E449" s="1">
        <v>34839</v>
      </c>
      <c r="F449">
        <v>1659</v>
      </c>
      <c r="G449" s="1">
        <v>120</v>
      </c>
      <c r="H449" s="1">
        <v>300</v>
      </c>
      <c r="I449" s="3" t="str">
        <f>TEXT(financials[[#This Row],[Schedule Delivery Date]],"mmmm")</f>
        <v>January</v>
      </c>
      <c r="J449">
        <f>YEAR(financials[[#This Row],[Schedule Delivery Date]])</f>
        <v>2026</v>
      </c>
      <c r="K449" s="7">
        <v>7</v>
      </c>
      <c r="L449" s="9">
        <v>46027</v>
      </c>
      <c r="M449" s="9">
        <v>46027</v>
      </c>
    </row>
    <row r="450" spans="1:13" x14ac:dyDescent="0.25">
      <c r="A450" t="s">
        <v>9</v>
      </c>
      <c r="B450">
        <v>624</v>
      </c>
      <c r="C450" t="s">
        <v>13</v>
      </c>
      <c r="D450" s="3" t="s">
        <v>34</v>
      </c>
      <c r="E450" s="1">
        <v>41170.5</v>
      </c>
      <c r="F450">
        <v>1307</v>
      </c>
      <c r="G450" s="1">
        <v>120</v>
      </c>
      <c r="H450" s="1">
        <v>350</v>
      </c>
      <c r="I450" s="3" t="str">
        <f>TEXT(financials[[#This Row],[Schedule Delivery Date]],"mmmm")</f>
        <v>January</v>
      </c>
      <c r="J450">
        <f>YEAR(financials[[#This Row],[Schedule Delivery Date]])</f>
        <v>2026</v>
      </c>
      <c r="K450" s="7">
        <v>7</v>
      </c>
      <c r="L450" s="9">
        <v>46027</v>
      </c>
      <c r="M450" s="9">
        <v>46024</v>
      </c>
    </row>
    <row r="451" spans="1:13" x14ac:dyDescent="0.25">
      <c r="A451" t="s">
        <v>9</v>
      </c>
      <c r="B451">
        <v>625</v>
      </c>
      <c r="C451" t="s">
        <v>55</v>
      </c>
      <c r="D451" s="3" t="s">
        <v>33</v>
      </c>
      <c r="E451" s="1">
        <v>48300</v>
      </c>
      <c r="F451">
        <v>3450</v>
      </c>
      <c r="G451" s="1">
        <v>10</v>
      </c>
      <c r="H451" s="1">
        <v>350</v>
      </c>
      <c r="I451" s="3" t="str">
        <f>TEXT(financials[[#This Row],[Schedule Delivery Date]],"mmmm")</f>
        <v>January</v>
      </c>
      <c r="J451">
        <f>YEAR(financials[[#This Row],[Schedule Delivery Date]])</f>
        <v>2026</v>
      </c>
      <c r="K451" s="7">
        <v>7</v>
      </c>
      <c r="L451" s="9">
        <v>46027</v>
      </c>
      <c r="M451" s="9">
        <v>46024</v>
      </c>
    </row>
    <row r="452" spans="1:13" x14ac:dyDescent="0.25">
      <c r="A452" t="s">
        <v>9</v>
      </c>
      <c r="B452">
        <v>626</v>
      </c>
      <c r="C452" t="s">
        <v>14</v>
      </c>
      <c r="D452" s="3" t="s">
        <v>34</v>
      </c>
      <c r="E452" s="1">
        <v>58590</v>
      </c>
      <c r="F452">
        <v>1395</v>
      </c>
      <c r="G452" s="1">
        <v>120</v>
      </c>
      <c r="H452" s="1">
        <v>350</v>
      </c>
      <c r="I452" s="3" t="str">
        <f>TEXT(financials[[#This Row],[Schedule Delivery Date]],"mmmm")</f>
        <v>January</v>
      </c>
      <c r="J452">
        <f>YEAR(financials[[#This Row],[Schedule Delivery Date]])</f>
        <v>2026</v>
      </c>
      <c r="K452" s="7">
        <v>7</v>
      </c>
      <c r="L452" s="9">
        <v>46027</v>
      </c>
      <c r="M452" s="9">
        <v>46024</v>
      </c>
    </row>
    <row r="453" spans="1:13" x14ac:dyDescent="0.25">
      <c r="A453" t="s">
        <v>9</v>
      </c>
      <c r="B453">
        <v>627</v>
      </c>
      <c r="C453" t="s">
        <v>11</v>
      </c>
      <c r="D453" s="3" t="s">
        <v>33</v>
      </c>
      <c r="E453" s="1">
        <v>81023.25</v>
      </c>
      <c r="F453">
        <v>2104.5</v>
      </c>
      <c r="G453" s="1">
        <v>10</v>
      </c>
      <c r="H453" s="1">
        <v>350</v>
      </c>
      <c r="I453" s="3" t="str">
        <f>TEXT(financials[[#This Row],[Schedule Delivery Date]],"mmmm")</f>
        <v>January</v>
      </c>
      <c r="J453">
        <f>YEAR(financials[[#This Row],[Schedule Delivery Date]])</f>
        <v>2026</v>
      </c>
      <c r="K453" s="7">
        <v>7</v>
      </c>
      <c r="L453" s="9">
        <v>46027</v>
      </c>
      <c r="M453" s="9">
        <v>46026</v>
      </c>
    </row>
    <row r="454" spans="1:13" x14ac:dyDescent="0.25">
      <c r="A454" t="s">
        <v>6</v>
      </c>
      <c r="B454">
        <v>628</v>
      </c>
      <c r="C454" t="s">
        <v>13</v>
      </c>
      <c r="D454" s="3" t="s">
        <v>31</v>
      </c>
      <c r="E454" s="1">
        <v>92763</v>
      </c>
      <c r="F454">
        <v>2811</v>
      </c>
      <c r="G454" s="1">
        <v>3</v>
      </c>
      <c r="H454" s="1">
        <v>300</v>
      </c>
      <c r="I454" s="3" t="str">
        <f>TEXT(financials[[#This Row],[Schedule Delivery Date]],"mmmm")</f>
        <v>January</v>
      </c>
      <c r="J454">
        <f>YEAR(financials[[#This Row],[Schedule Delivery Date]])</f>
        <v>2026</v>
      </c>
      <c r="K454" s="7">
        <v>7</v>
      </c>
      <c r="L454" s="9">
        <v>46027</v>
      </c>
      <c r="M454" s="9">
        <v>46025</v>
      </c>
    </row>
    <row r="455" spans="1:13" x14ac:dyDescent="0.25">
      <c r="A455" t="s">
        <v>6</v>
      </c>
      <c r="B455">
        <v>629</v>
      </c>
      <c r="C455" t="s">
        <v>11</v>
      </c>
      <c r="D455" s="3" t="s">
        <v>34</v>
      </c>
      <c r="E455" s="1">
        <v>102424.5</v>
      </c>
      <c r="F455">
        <v>3793.5</v>
      </c>
      <c r="G455" s="1">
        <v>120</v>
      </c>
      <c r="H455" s="1">
        <v>300</v>
      </c>
      <c r="I455" s="3" t="str">
        <f>TEXT(financials[[#This Row],[Schedule Delivery Date]],"mmmm")</f>
        <v>January</v>
      </c>
      <c r="J455">
        <f>YEAR(financials[[#This Row],[Schedule Delivery Date]])</f>
        <v>2026</v>
      </c>
      <c r="K455" s="7">
        <v>7</v>
      </c>
      <c r="L455" s="9">
        <v>46027</v>
      </c>
      <c r="M455" s="9">
        <v>46024</v>
      </c>
    </row>
    <row r="456" spans="1:13" x14ac:dyDescent="0.25">
      <c r="A456" t="s">
        <v>6</v>
      </c>
      <c r="B456">
        <v>630</v>
      </c>
      <c r="C456" t="s">
        <v>55</v>
      </c>
      <c r="D456" s="3" t="s">
        <v>34</v>
      </c>
      <c r="E456" s="1">
        <v>103320</v>
      </c>
      <c r="F456">
        <v>2460</v>
      </c>
      <c r="G456" s="1">
        <v>120</v>
      </c>
      <c r="H456" s="1">
        <v>300</v>
      </c>
      <c r="I456" s="3" t="str">
        <f>TEXT(financials[[#This Row],[Schedule Delivery Date]],"mmmm")</f>
        <v>January</v>
      </c>
      <c r="J456">
        <f>YEAR(financials[[#This Row],[Schedule Delivery Date]])</f>
        <v>2026</v>
      </c>
      <c r="K456" s="7">
        <v>7</v>
      </c>
      <c r="L456" s="9">
        <v>46027</v>
      </c>
      <c r="M456" s="9">
        <v>46026</v>
      </c>
    </row>
    <row r="457" spans="1:13" x14ac:dyDescent="0.25">
      <c r="A457" t="s">
        <v>6</v>
      </c>
      <c r="B457">
        <v>631</v>
      </c>
      <c r="C457" t="s">
        <v>14</v>
      </c>
      <c r="D457" s="3" t="s">
        <v>32</v>
      </c>
      <c r="E457" s="1">
        <v>0</v>
      </c>
      <c r="F457">
        <v>958</v>
      </c>
      <c r="G457" s="1">
        <v>5</v>
      </c>
      <c r="H457" s="1">
        <v>300</v>
      </c>
      <c r="I457" s="3" t="str">
        <f>TEXT(financials[[#This Row],[Schedule Delivery Date]],"mmmm")</f>
        <v>January</v>
      </c>
      <c r="J457">
        <f>YEAR(financials[[#This Row],[Schedule Delivery Date]])</f>
        <v>2026</v>
      </c>
      <c r="K457" s="7">
        <v>8</v>
      </c>
      <c r="L457" s="9">
        <v>46027</v>
      </c>
      <c r="M457" s="9">
        <v>46024</v>
      </c>
    </row>
    <row r="458" spans="1:13" x14ac:dyDescent="0.25">
      <c r="A458" t="s">
        <v>9</v>
      </c>
      <c r="B458">
        <v>632</v>
      </c>
      <c r="C458" t="s">
        <v>14</v>
      </c>
      <c r="D458" s="3" t="s">
        <v>33</v>
      </c>
      <c r="E458" s="1">
        <v>0</v>
      </c>
      <c r="F458">
        <v>883</v>
      </c>
      <c r="G458" s="1">
        <v>10</v>
      </c>
      <c r="H458" s="1">
        <v>7</v>
      </c>
      <c r="I458" s="3" t="str">
        <f>TEXT(financials[[#This Row],[Schedule Delivery Date]],"mmmm")</f>
        <v>January</v>
      </c>
      <c r="J458">
        <f>YEAR(financials[[#This Row],[Schedule Delivery Date]])</f>
        <v>2026</v>
      </c>
      <c r="K458" s="7">
        <v>8</v>
      </c>
      <c r="L458" s="9">
        <v>46027</v>
      </c>
      <c r="M458" s="9">
        <v>46024</v>
      </c>
    </row>
    <row r="459" spans="1:13" x14ac:dyDescent="0.25">
      <c r="A459" t="s">
        <v>8</v>
      </c>
      <c r="B459">
        <v>633</v>
      </c>
      <c r="C459" t="s">
        <v>55</v>
      </c>
      <c r="D459" s="3" t="s">
        <v>34</v>
      </c>
      <c r="E459" s="1">
        <v>0</v>
      </c>
      <c r="F459">
        <v>2821</v>
      </c>
      <c r="G459" s="1">
        <v>120</v>
      </c>
      <c r="H459" s="1">
        <v>125</v>
      </c>
      <c r="I459" s="3" t="str">
        <f>TEXT(financials[[#This Row],[Schedule Delivery Date]],"mmmm")</f>
        <v>January</v>
      </c>
      <c r="J459">
        <f>YEAR(financials[[#This Row],[Schedule Delivery Date]])</f>
        <v>2026</v>
      </c>
      <c r="K459" s="7">
        <v>8</v>
      </c>
      <c r="L459" s="9">
        <v>46027</v>
      </c>
      <c r="M459" s="9">
        <v>46025</v>
      </c>
    </row>
    <row r="460" spans="1:13" x14ac:dyDescent="0.25">
      <c r="A460" t="s">
        <v>10</v>
      </c>
      <c r="B460">
        <v>634</v>
      </c>
      <c r="C460" t="s">
        <v>55</v>
      </c>
      <c r="D460" s="3" t="s">
        <v>36</v>
      </c>
      <c r="E460" s="1">
        <v>0</v>
      </c>
      <c r="F460">
        <v>2141</v>
      </c>
      <c r="G460" s="1">
        <v>260</v>
      </c>
      <c r="H460" s="1">
        <v>12</v>
      </c>
      <c r="I460" s="3" t="str">
        <f>TEXT(financials[[#This Row],[Schedule Delivery Date]],"mmmm")</f>
        <v>January</v>
      </c>
      <c r="J460">
        <f>YEAR(financials[[#This Row],[Schedule Delivery Date]])</f>
        <v>2026</v>
      </c>
      <c r="K460" s="7">
        <v>8</v>
      </c>
      <c r="L460" s="9">
        <v>46027</v>
      </c>
      <c r="M460" s="9">
        <v>46025</v>
      </c>
    </row>
    <row r="461" spans="1:13" x14ac:dyDescent="0.25">
      <c r="A461" t="s">
        <v>9</v>
      </c>
      <c r="B461">
        <v>635</v>
      </c>
      <c r="C461" t="s">
        <v>11</v>
      </c>
      <c r="D461" s="3" t="s">
        <v>32</v>
      </c>
      <c r="E461" s="1">
        <v>128.1</v>
      </c>
      <c r="F461">
        <v>1830</v>
      </c>
      <c r="G461" s="1">
        <v>5</v>
      </c>
      <c r="H461" s="1">
        <v>7</v>
      </c>
      <c r="I461" s="3" t="str">
        <f>TEXT(financials[[#This Row],[Schedule Delivery Date]],"mmmm")</f>
        <v>January</v>
      </c>
      <c r="J461">
        <f>YEAR(financials[[#This Row],[Schedule Delivery Date]])</f>
        <v>2026</v>
      </c>
      <c r="K461" s="7">
        <v>8</v>
      </c>
      <c r="L461" s="9">
        <v>46027</v>
      </c>
      <c r="M461" s="9">
        <v>46025</v>
      </c>
    </row>
    <row r="462" spans="1:13" x14ac:dyDescent="0.25">
      <c r="A462" t="s">
        <v>9</v>
      </c>
      <c r="B462">
        <v>636</v>
      </c>
      <c r="C462" t="s">
        <v>55</v>
      </c>
      <c r="D462" s="3" t="s">
        <v>33</v>
      </c>
      <c r="E462" s="1">
        <v>379.68</v>
      </c>
      <c r="F462">
        <v>678</v>
      </c>
      <c r="G462" s="1">
        <v>10</v>
      </c>
      <c r="H462" s="1">
        <v>7</v>
      </c>
      <c r="I462" s="3" t="str">
        <f>TEXT(financials[[#This Row],[Schedule Delivery Date]],"mmmm")</f>
        <v>January</v>
      </c>
      <c r="J462">
        <f>YEAR(financials[[#This Row],[Schedule Delivery Date]])</f>
        <v>2026</v>
      </c>
      <c r="K462" s="7">
        <v>8</v>
      </c>
      <c r="L462" s="9">
        <v>46027</v>
      </c>
      <c r="M462" s="9">
        <v>46024</v>
      </c>
    </row>
    <row r="463" spans="1:13" x14ac:dyDescent="0.25">
      <c r="A463" t="s">
        <v>10</v>
      </c>
      <c r="B463">
        <v>637</v>
      </c>
      <c r="C463" t="s">
        <v>14</v>
      </c>
      <c r="D463" s="3" t="s">
        <v>36</v>
      </c>
      <c r="E463" s="1">
        <v>673.8</v>
      </c>
      <c r="F463">
        <v>1123</v>
      </c>
      <c r="G463" s="1">
        <v>260</v>
      </c>
      <c r="H463" s="1">
        <v>12</v>
      </c>
      <c r="I463" s="3" t="str">
        <f>TEXT(financials[[#This Row],[Schedule Delivery Date]],"mmmm")</f>
        <v>January</v>
      </c>
      <c r="J463">
        <f>YEAR(financials[[#This Row],[Schedule Delivery Date]])</f>
        <v>2026</v>
      </c>
      <c r="K463" s="7">
        <v>8</v>
      </c>
      <c r="L463" s="9">
        <v>46027</v>
      </c>
      <c r="M463" s="9">
        <v>46024</v>
      </c>
    </row>
    <row r="464" spans="1:13" x14ac:dyDescent="0.25">
      <c r="A464" t="s">
        <v>9</v>
      </c>
      <c r="B464">
        <v>638</v>
      </c>
      <c r="C464" t="s">
        <v>14</v>
      </c>
      <c r="D464" s="3" t="s">
        <v>34</v>
      </c>
      <c r="E464" s="1">
        <v>852.6</v>
      </c>
      <c r="F464">
        <v>609</v>
      </c>
      <c r="G464" s="1">
        <v>120</v>
      </c>
      <c r="H464" s="1">
        <v>20</v>
      </c>
      <c r="I464" s="3" t="str">
        <f>TEXT(financials[[#This Row],[Schedule Delivery Date]],"mmmm")</f>
        <v>January</v>
      </c>
      <c r="J464">
        <f>YEAR(financials[[#This Row],[Schedule Delivery Date]])</f>
        <v>2026</v>
      </c>
      <c r="K464" s="7">
        <v>8</v>
      </c>
      <c r="L464" s="9">
        <v>46027</v>
      </c>
      <c r="M464" s="9">
        <v>46024</v>
      </c>
    </row>
    <row r="465" spans="1:13" x14ac:dyDescent="0.25">
      <c r="A465" t="s">
        <v>9</v>
      </c>
      <c r="B465">
        <v>639</v>
      </c>
      <c r="C465" t="s">
        <v>13</v>
      </c>
      <c r="D465" s="3" t="s">
        <v>33</v>
      </c>
      <c r="E465" s="1">
        <v>894.88</v>
      </c>
      <c r="F465">
        <v>1598</v>
      </c>
      <c r="G465" s="1">
        <v>10</v>
      </c>
      <c r="H465" s="1">
        <v>7</v>
      </c>
      <c r="I465" s="3" t="str">
        <f>TEXT(financials[[#This Row],[Schedule Delivery Date]],"mmmm")</f>
        <v>January</v>
      </c>
      <c r="J465">
        <f>YEAR(financials[[#This Row],[Schedule Delivery Date]])</f>
        <v>2026</v>
      </c>
      <c r="K465" s="7">
        <v>8</v>
      </c>
      <c r="L465" s="9">
        <v>46027</v>
      </c>
      <c r="M465" s="9">
        <v>46024</v>
      </c>
    </row>
    <row r="466" spans="1:13" x14ac:dyDescent="0.25">
      <c r="A466" t="s">
        <v>8</v>
      </c>
      <c r="B466">
        <v>640</v>
      </c>
      <c r="C466" t="s">
        <v>11</v>
      </c>
      <c r="D466" s="3" t="s">
        <v>34</v>
      </c>
      <c r="E466" s="1">
        <v>1153.75</v>
      </c>
      <c r="F466">
        <v>923</v>
      </c>
      <c r="G466" s="1">
        <v>120</v>
      </c>
      <c r="H466" s="1">
        <v>125</v>
      </c>
      <c r="I466" s="3" t="str">
        <f>TEXT(financials[[#This Row],[Schedule Delivery Date]],"mmmm")</f>
        <v>January</v>
      </c>
      <c r="J466">
        <f>YEAR(financials[[#This Row],[Schedule Delivery Date]])</f>
        <v>2026</v>
      </c>
      <c r="K466" s="7">
        <v>8</v>
      </c>
      <c r="L466" s="9">
        <v>46027</v>
      </c>
      <c r="M466" s="9">
        <v>46025</v>
      </c>
    </row>
    <row r="467" spans="1:13" x14ac:dyDescent="0.25">
      <c r="A467" t="s">
        <v>9</v>
      </c>
      <c r="B467">
        <v>641</v>
      </c>
      <c r="C467" t="s">
        <v>13</v>
      </c>
      <c r="D467" s="3" t="s">
        <v>34</v>
      </c>
      <c r="E467" s="1">
        <v>1201.2</v>
      </c>
      <c r="F467">
        <v>1001</v>
      </c>
      <c r="G467" s="1">
        <v>120</v>
      </c>
      <c r="H467" s="1">
        <v>20</v>
      </c>
      <c r="I467" s="3" t="str">
        <f>TEXT(financials[[#This Row],[Schedule Delivery Date]],"mmmm")</f>
        <v>January</v>
      </c>
      <c r="J467">
        <f>YEAR(financials[[#This Row],[Schedule Delivery Date]])</f>
        <v>2026</v>
      </c>
      <c r="K467" s="7">
        <v>8</v>
      </c>
      <c r="L467" s="9">
        <v>46027</v>
      </c>
      <c r="M467" s="9">
        <v>46025</v>
      </c>
    </row>
    <row r="468" spans="1:13" x14ac:dyDescent="0.25">
      <c r="A468" t="s">
        <v>7</v>
      </c>
      <c r="B468">
        <v>642</v>
      </c>
      <c r="C468" t="s">
        <v>13</v>
      </c>
      <c r="D468" s="3" t="s">
        <v>33</v>
      </c>
      <c r="E468" s="1">
        <v>1568.7</v>
      </c>
      <c r="F468">
        <v>1743</v>
      </c>
      <c r="G468" s="1">
        <v>10</v>
      </c>
      <c r="H468" s="1">
        <v>15</v>
      </c>
      <c r="I468" s="3" t="str">
        <f>TEXT(financials[[#This Row],[Schedule Delivery Date]],"mmmm")</f>
        <v>January</v>
      </c>
      <c r="J468">
        <f>YEAR(financials[[#This Row],[Schedule Delivery Date]])</f>
        <v>2026</v>
      </c>
      <c r="K468" s="7">
        <v>8</v>
      </c>
      <c r="L468" s="9">
        <v>46027</v>
      </c>
      <c r="M468" s="9">
        <v>46024</v>
      </c>
    </row>
    <row r="469" spans="1:13" x14ac:dyDescent="0.25">
      <c r="A469" t="s">
        <v>9</v>
      </c>
      <c r="B469">
        <v>643</v>
      </c>
      <c r="C469" t="s">
        <v>12</v>
      </c>
      <c r="D469" s="3" t="s">
        <v>34</v>
      </c>
      <c r="E469" s="1">
        <v>1579</v>
      </c>
      <c r="F469">
        <v>1579</v>
      </c>
      <c r="G469" s="1">
        <v>120</v>
      </c>
      <c r="H469" s="1">
        <v>20</v>
      </c>
      <c r="I469" s="3" t="str">
        <f>TEXT(financials[[#This Row],[Schedule Delivery Date]],"mmmm")</f>
        <v>January</v>
      </c>
      <c r="J469">
        <f>YEAR(financials[[#This Row],[Schedule Delivery Date]])</f>
        <v>2026</v>
      </c>
      <c r="K469" s="7">
        <v>8</v>
      </c>
      <c r="L469" s="9">
        <v>46027</v>
      </c>
      <c r="M469" s="9">
        <v>46024</v>
      </c>
    </row>
    <row r="470" spans="1:13" x14ac:dyDescent="0.25">
      <c r="A470" t="s">
        <v>10</v>
      </c>
      <c r="B470">
        <v>644</v>
      </c>
      <c r="C470" t="s">
        <v>11</v>
      </c>
      <c r="D470" s="3" t="s">
        <v>31</v>
      </c>
      <c r="E470" s="1">
        <v>1582.56</v>
      </c>
      <c r="F470">
        <v>1884</v>
      </c>
      <c r="G470" s="1">
        <v>3</v>
      </c>
      <c r="H470" s="1">
        <v>12</v>
      </c>
      <c r="I470" s="3" t="str">
        <f>TEXT(financials[[#This Row],[Schedule Delivery Date]],"mmmm")</f>
        <v>January</v>
      </c>
      <c r="J470">
        <f>YEAR(financials[[#This Row],[Schedule Delivery Date]])</f>
        <v>2026</v>
      </c>
      <c r="K470" s="7">
        <v>8</v>
      </c>
      <c r="L470" s="9">
        <v>46027</v>
      </c>
      <c r="M470" s="9">
        <v>46024</v>
      </c>
    </row>
    <row r="471" spans="1:13" x14ac:dyDescent="0.25">
      <c r="A471" t="s">
        <v>7</v>
      </c>
      <c r="B471">
        <v>645</v>
      </c>
      <c r="C471" t="s">
        <v>55</v>
      </c>
      <c r="D471" s="3" t="s">
        <v>33</v>
      </c>
      <c r="E471" s="1">
        <v>1978.2</v>
      </c>
      <c r="F471">
        <v>2198</v>
      </c>
      <c r="G471" s="1">
        <v>10</v>
      </c>
      <c r="H471" s="1">
        <v>15</v>
      </c>
      <c r="I471" s="3" t="str">
        <f>TEXT(financials[[#This Row],[Schedule Delivery Date]],"mmmm")</f>
        <v>January</v>
      </c>
      <c r="J471">
        <f>YEAR(financials[[#This Row],[Schedule Delivery Date]])</f>
        <v>2026</v>
      </c>
      <c r="K471" s="7">
        <v>8</v>
      </c>
      <c r="L471" s="9">
        <v>46027</v>
      </c>
      <c r="M471" s="9">
        <v>46024</v>
      </c>
    </row>
    <row r="472" spans="1:13" x14ac:dyDescent="0.25">
      <c r="A472" t="s">
        <v>7</v>
      </c>
      <c r="B472">
        <v>646</v>
      </c>
      <c r="C472" t="s">
        <v>12</v>
      </c>
      <c r="D472" s="3" t="s">
        <v>33</v>
      </c>
      <c r="E472" s="1">
        <v>2206.0500000000002</v>
      </c>
      <c r="F472">
        <v>2101</v>
      </c>
      <c r="G472" s="1">
        <v>10</v>
      </c>
      <c r="H472" s="1">
        <v>15</v>
      </c>
      <c r="I472" s="3" t="str">
        <f>TEXT(financials[[#This Row],[Schedule Delivery Date]],"mmmm")</f>
        <v>January</v>
      </c>
      <c r="J472">
        <f>YEAR(financials[[#This Row],[Schedule Delivery Date]])</f>
        <v>2026</v>
      </c>
      <c r="K472" s="7">
        <v>8</v>
      </c>
      <c r="L472" s="9">
        <v>46027</v>
      </c>
      <c r="M472" s="9">
        <v>46024</v>
      </c>
    </row>
    <row r="473" spans="1:13" x14ac:dyDescent="0.25">
      <c r="A473" t="s">
        <v>9</v>
      </c>
      <c r="B473">
        <v>647</v>
      </c>
      <c r="C473" t="s">
        <v>12</v>
      </c>
      <c r="D473" s="3" t="s">
        <v>33</v>
      </c>
      <c r="E473" s="1">
        <v>2453.36</v>
      </c>
      <c r="F473">
        <v>2696</v>
      </c>
      <c r="G473" s="1">
        <v>10</v>
      </c>
      <c r="H473" s="1">
        <v>7</v>
      </c>
      <c r="I473" s="3" t="str">
        <f>TEXT(financials[[#This Row],[Schedule Delivery Date]],"mmmm")</f>
        <v>January</v>
      </c>
      <c r="J473">
        <f>YEAR(financials[[#This Row],[Schedule Delivery Date]])</f>
        <v>2026</v>
      </c>
      <c r="K473" s="7">
        <v>8</v>
      </c>
      <c r="L473" s="9">
        <v>46027</v>
      </c>
      <c r="M473" s="9">
        <v>46025</v>
      </c>
    </row>
    <row r="474" spans="1:13" x14ac:dyDescent="0.25">
      <c r="A474" t="s">
        <v>9</v>
      </c>
      <c r="B474">
        <v>648</v>
      </c>
      <c r="C474" t="s">
        <v>55</v>
      </c>
      <c r="D474" s="3" t="s">
        <v>34</v>
      </c>
      <c r="E474" s="1">
        <v>2832</v>
      </c>
      <c r="F474">
        <v>2832</v>
      </c>
      <c r="G474" s="1">
        <v>120</v>
      </c>
      <c r="H474" s="1">
        <v>20</v>
      </c>
      <c r="I474" s="3" t="str">
        <f>TEXT(financials[[#This Row],[Schedule Delivery Date]],"mmmm")</f>
        <v>January</v>
      </c>
      <c r="J474">
        <f>YEAR(financials[[#This Row],[Schedule Delivery Date]])</f>
        <v>2026</v>
      </c>
      <c r="K474" s="7">
        <v>8</v>
      </c>
      <c r="L474" s="9">
        <v>46027</v>
      </c>
      <c r="M474" s="9">
        <v>46024</v>
      </c>
    </row>
    <row r="475" spans="1:13" x14ac:dyDescent="0.25">
      <c r="A475" t="s">
        <v>10</v>
      </c>
      <c r="B475">
        <v>649</v>
      </c>
      <c r="C475" t="s">
        <v>13</v>
      </c>
      <c r="D475" s="3" t="s">
        <v>36</v>
      </c>
      <c r="E475" s="1">
        <v>3088.8</v>
      </c>
      <c r="F475">
        <v>2574</v>
      </c>
      <c r="G475" s="1">
        <v>260</v>
      </c>
      <c r="H475" s="1">
        <v>12</v>
      </c>
      <c r="I475" s="3" t="str">
        <f>TEXT(financials[[#This Row],[Schedule Delivery Date]],"mmmm")</f>
        <v>January</v>
      </c>
      <c r="J475">
        <f>YEAR(financials[[#This Row],[Schedule Delivery Date]])</f>
        <v>2026</v>
      </c>
      <c r="K475" s="7">
        <v>8</v>
      </c>
      <c r="L475" s="9">
        <v>46027</v>
      </c>
      <c r="M475" s="9">
        <v>46027</v>
      </c>
    </row>
    <row r="476" spans="1:13" x14ac:dyDescent="0.25">
      <c r="A476" t="s">
        <v>7</v>
      </c>
      <c r="B476">
        <v>650</v>
      </c>
      <c r="C476" t="s">
        <v>14</v>
      </c>
      <c r="D476" s="3" t="s">
        <v>33</v>
      </c>
      <c r="E476" s="1">
        <v>3273.6</v>
      </c>
      <c r="F476">
        <v>1984</v>
      </c>
      <c r="G476" s="1">
        <v>10</v>
      </c>
      <c r="H476" s="1">
        <v>15</v>
      </c>
      <c r="I476" s="3" t="str">
        <f>TEXT(financials[[#This Row],[Schedule Delivery Date]],"mmmm")</f>
        <v>January</v>
      </c>
      <c r="J476">
        <f>YEAR(financials[[#This Row],[Schedule Delivery Date]])</f>
        <v>2026</v>
      </c>
      <c r="K476" s="7">
        <v>8</v>
      </c>
      <c r="L476" s="9">
        <v>46027</v>
      </c>
      <c r="M476" s="9">
        <v>46024</v>
      </c>
    </row>
    <row r="477" spans="1:13" x14ac:dyDescent="0.25">
      <c r="A477" t="s">
        <v>10</v>
      </c>
      <c r="B477">
        <v>651</v>
      </c>
      <c r="C477" t="s">
        <v>12</v>
      </c>
      <c r="D477" s="3" t="s">
        <v>36</v>
      </c>
      <c r="E477" s="1">
        <v>4158</v>
      </c>
      <c r="F477">
        <v>2475</v>
      </c>
      <c r="G477" s="1">
        <v>260</v>
      </c>
      <c r="H477" s="1">
        <v>12</v>
      </c>
      <c r="I477" s="3" t="str">
        <f>TEXT(financials[[#This Row],[Schedule Delivery Date]],"mmmm")</f>
        <v>January</v>
      </c>
      <c r="J477">
        <f>YEAR(financials[[#This Row],[Schedule Delivery Date]])</f>
        <v>2026</v>
      </c>
      <c r="K477" s="7">
        <v>8</v>
      </c>
      <c r="L477" s="9">
        <v>46027</v>
      </c>
      <c r="M477" s="9">
        <v>46024</v>
      </c>
    </row>
    <row r="478" spans="1:13" x14ac:dyDescent="0.25">
      <c r="A478" t="s">
        <v>9</v>
      </c>
      <c r="B478">
        <v>652</v>
      </c>
      <c r="C478" t="s">
        <v>11</v>
      </c>
      <c r="D478" s="3" t="s">
        <v>33</v>
      </c>
      <c r="E478" s="1">
        <v>5266.8</v>
      </c>
      <c r="F478">
        <v>2394</v>
      </c>
      <c r="G478" s="1">
        <v>10</v>
      </c>
      <c r="H478" s="1">
        <v>20</v>
      </c>
      <c r="I478" s="3" t="str">
        <f>TEXT(financials[[#This Row],[Schedule Delivery Date]],"mmmm")</f>
        <v>January</v>
      </c>
      <c r="J478">
        <f>YEAR(financials[[#This Row],[Schedule Delivery Date]])</f>
        <v>2026</v>
      </c>
      <c r="K478" s="7">
        <v>8</v>
      </c>
      <c r="L478" s="9">
        <v>46028</v>
      </c>
      <c r="M478" s="9">
        <v>46025</v>
      </c>
    </row>
    <row r="479" spans="1:13" x14ac:dyDescent="0.25">
      <c r="A479" t="s">
        <v>7</v>
      </c>
      <c r="B479">
        <v>653</v>
      </c>
      <c r="C479" t="s">
        <v>11</v>
      </c>
      <c r="D479" s="3" t="s">
        <v>33</v>
      </c>
      <c r="E479" s="1">
        <v>5757.75</v>
      </c>
      <c r="F479">
        <v>2559</v>
      </c>
      <c r="G479" s="1">
        <v>10</v>
      </c>
      <c r="H479" s="1">
        <v>15</v>
      </c>
      <c r="I479" s="3" t="str">
        <f>TEXT(financials[[#This Row],[Schedule Delivery Date]],"mmmm")</f>
        <v>January</v>
      </c>
      <c r="J479">
        <f>YEAR(financials[[#This Row],[Schedule Delivery Date]])</f>
        <v>2026</v>
      </c>
      <c r="K479" s="7">
        <v>8</v>
      </c>
      <c r="L479" s="9">
        <v>46027</v>
      </c>
      <c r="M479" s="9">
        <v>46024</v>
      </c>
    </row>
    <row r="480" spans="1:13" x14ac:dyDescent="0.25">
      <c r="A480" t="s">
        <v>9</v>
      </c>
      <c r="B480">
        <v>654</v>
      </c>
      <c r="C480" t="s">
        <v>11</v>
      </c>
      <c r="D480" s="3" t="s">
        <v>36</v>
      </c>
      <c r="E480" s="1">
        <v>9660</v>
      </c>
      <c r="F480">
        <v>552</v>
      </c>
      <c r="G480" s="1">
        <v>260</v>
      </c>
      <c r="H480" s="1">
        <v>350</v>
      </c>
      <c r="I480" s="3" t="str">
        <f>TEXT(financials[[#This Row],[Schedule Delivery Date]],"mmmm")</f>
        <v>January</v>
      </c>
      <c r="J480">
        <f>YEAR(financials[[#This Row],[Schedule Delivery Date]])</f>
        <v>2026</v>
      </c>
      <c r="K480" s="7">
        <v>8</v>
      </c>
      <c r="L480" s="9">
        <v>46027</v>
      </c>
      <c r="M480" s="9">
        <v>46024</v>
      </c>
    </row>
    <row r="481" spans="1:13" x14ac:dyDescent="0.25">
      <c r="A481" t="s">
        <v>9</v>
      </c>
      <c r="B481">
        <v>655</v>
      </c>
      <c r="C481" t="s">
        <v>12</v>
      </c>
      <c r="D481" s="3" t="s">
        <v>35</v>
      </c>
      <c r="E481" s="1">
        <v>10668</v>
      </c>
      <c r="F481">
        <v>381</v>
      </c>
      <c r="G481" s="1">
        <v>250</v>
      </c>
      <c r="H481" s="1">
        <v>350</v>
      </c>
      <c r="I481" s="3" t="str">
        <f>TEXT(financials[[#This Row],[Schedule Delivery Date]],"mmmm")</f>
        <v>January</v>
      </c>
      <c r="J481">
        <f>YEAR(financials[[#This Row],[Schedule Delivery Date]])</f>
        <v>2026</v>
      </c>
      <c r="K481" s="7">
        <v>8</v>
      </c>
      <c r="L481" s="9">
        <v>46043</v>
      </c>
      <c r="M481" s="9">
        <v>46041</v>
      </c>
    </row>
    <row r="482" spans="1:13" x14ac:dyDescent="0.25">
      <c r="A482" t="s">
        <v>9</v>
      </c>
      <c r="B482">
        <v>656</v>
      </c>
      <c r="C482" t="s">
        <v>13</v>
      </c>
      <c r="D482" s="3" t="s">
        <v>35</v>
      </c>
      <c r="E482" s="1">
        <v>11816</v>
      </c>
      <c r="F482">
        <v>422</v>
      </c>
      <c r="G482" s="1">
        <v>250</v>
      </c>
      <c r="H482" s="1">
        <v>350</v>
      </c>
      <c r="I482" s="3" t="str">
        <f>TEXT(financials[[#This Row],[Schedule Delivery Date]],"mmmm")</f>
        <v>January</v>
      </c>
      <c r="J482">
        <f>YEAR(financials[[#This Row],[Schedule Delivery Date]])</f>
        <v>2026</v>
      </c>
      <c r="K482" s="7">
        <v>8</v>
      </c>
      <c r="L482" s="9">
        <v>46027</v>
      </c>
      <c r="M482" s="9">
        <v>46024</v>
      </c>
    </row>
    <row r="483" spans="1:13" x14ac:dyDescent="0.25">
      <c r="A483" t="s">
        <v>8</v>
      </c>
      <c r="B483">
        <v>657</v>
      </c>
      <c r="C483" t="s">
        <v>14</v>
      </c>
      <c r="D483" s="3" t="s">
        <v>31</v>
      </c>
      <c r="E483" s="1">
        <v>15400</v>
      </c>
      <c r="F483">
        <v>1540</v>
      </c>
      <c r="G483" s="1">
        <v>3</v>
      </c>
      <c r="H483" s="1">
        <v>125</v>
      </c>
      <c r="I483" s="3" t="str">
        <f>TEXT(financials[[#This Row],[Schedule Delivery Date]],"mmmm")</f>
        <v>January</v>
      </c>
      <c r="J483">
        <f>YEAR(financials[[#This Row],[Schedule Delivery Date]])</f>
        <v>2026</v>
      </c>
      <c r="K483" s="7">
        <v>8</v>
      </c>
      <c r="L483" s="9">
        <v>46027</v>
      </c>
      <c r="M483" s="9">
        <v>46027</v>
      </c>
    </row>
    <row r="484" spans="1:13" x14ac:dyDescent="0.25">
      <c r="A484" t="s">
        <v>6</v>
      </c>
      <c r="B484">
        <v>658</v>
      </c>
      <c r="C484" t="s">
        <v>11</v>
      </c>
      <c r="D484" s="3" t="s">
        <v>35</v>
      </c>
      <c r="E484" s="1">
        <v>16866</v>
      </c>
      <c r="F484">
        <v>1874</v>
      </c>
      <c r="G484" s="1">
        <v>250</v>
      </c>
      <c r="H484" s="1">
        <v>300</v>
      </c>
      <c r="I484" s="3" t="str">
        <f>TEXT(financials[[#This Row],[Schedule Delivery Date]],"mmmm")</f>
        <v>January</v>
      </c>
      <c r="J484">
        <f>YEAR(financials[[#This Row],[Schedule Delivery Date]])</f>
        <v>2026</v>
      </c>
      <c r="K484" s="7">
        <v>8</v>
      </c>
      <c r="L484" s="9">
        <v>46027</v>
      </c>
      <c r="M484" s="9">
        <v>46026</v>
      </c>
    </row>
    <row r="485" spans="1:13" x14ac:dyDescent="0.25">
      <c r="A485" t="s">
        <v>9</v>
      </c>
      <c r="B485">
        <v>659</v>
      </c>
      <c r="C485" t="s">
        <v>14</v>
      </c>
      <c r="D485" s="3" t="s">
        <v>35</v>
      </c>
      <c r="E485" s="1">
        <v>17241</v>
      </c>
      <c r="F485">
        <v>1642</v>
      </c>
      <c r="G485" s="1">
        <v>250</v>
      </c>
      <c r="H485" s="1">
        <v>350</v>
      </c>
      <c r="I485" s="3" t="str">
        <f>TEXT(financials[[#This Row],[Schedule Delivery Date]],"mmmm")</f>
        <v>January</v>
      </c>
      <c r="J485">
        <f>YEAR(financials[[#This Row],[Schedule Delivery Date]])</f>
        <v>2026</v>
      </c>
      <c r="K485" s="7">
        <v>8</v>
      </c>
      <c r="L485" s="9">
        <v>46027</v>
      </c>
      <c r="M485" s="9">
        <v>46024</v>
      </c>
    </row>
    <row r="486" spans="1:13" x14ac:dyDescent="0.25">
      <c r="A486" t="s">
        <v>8</v>
      </c>
      <c r="B486">
        <v>660</v>
      </c>
      <c r="C486" t="s">
        <v>12</v>
      </c>
      <c r="D486" s="3" t="s">
        <v>31</v>
      </c>
      <c r="E486" s="1">
        <v>22012.5</v>
      </c>
      <c r="F486">
        <v>1174</v>
      </c>
      <c r="G486" s="1">
        <v>3</v>
      </c>
      <c r="H486" s="1">
        <v>125</v>
      </c>
      <c r="I486" s="3" t="str">
        <f>TEXT(financials[[#This Row],[Schedule Delivery Date]],"mmmm")</f>
        <v>January</v>
      </c>
      <c r="J486">
        <f>YEAR(financials[[#This Row],[Schedule Delivery Date]])</f>
        <v>2026</v>
      </c>
      <c r="K486" s="7">
        <v>8</v>
      </c>
      <c r="L486" s="9">
        <v>46030</v>
      </c>
      <c r="M486" s="9">
        <v>46030</v>
      </c>
    </row>
    <row r="487" spans="1:13" x14ac:dyDescent="0.25">
      <c r="A487" t="s">
        <v>6</v>
      </c>
      <c r="B487">
        <v>661</v>
      </c>
      <c r="C487" t="s">
        <v>13</v>
      </c>
      <c r="D487" s="3" t="s">
        <v>32</v>
      </c>
      <c r="E487" s="1">
        <v>22308</v>
      </c>
      <c r="F487">
        <v>1859</v>
      </c>
      <c r="G487" s="1">
        <v>5</v>
      </c>
      <c r="H487" s="1">
        <v>300</v>
      </c>
      <c r="I487" s="3" t="str">
        <f>TEXT(financials[[#This Row],[Schedule Delivery Date]],"mmmm")</f>
        <v>January</v>
      </c>
      <c r="J487">
        <f>YEAR(financials[[#This Row],[Schedule Delivery Date]])</f>
        <v>2026</v>
      </c>
      <c r="K487" s="7">
        <v>8</v>
      </c>
      <c r="L487" s="9">
        <v>46027</v>
      </c>
      <c r="M487" s="9">
        <v>46024</v>
      </c>
    </row>
    <row r="488" spans="1:13" x14ac:dyDescent="0.25">
      <c r="A488" t="s">
        <v>6</v>
      </c>
      <c r="B488">
        <v>662</v>
      </c>
      <c r="C488" t="s">
        <v>12</v>
      </c>
      <c r="D488" s="3" t="s">
        <v>32</v>
      </c>
      <c r="E488" s="1">
        <v>37488</v>
      </c>
      <c r="F488">
        <v>1562</v>
      </c>
      <c r="G488" s="1">
        <v>5</v>
      </c>
      <c r="H488" s="1">
        <v>300</v>
      </c>
      <c r="I488" s="3" t="str">
        <f>TEXT(financials[[#This Row],[Schedule Delivery Date]],"mmmm")</f>
        <v>January</v>
      </c>
      <c r="J488">
        <f>YEAR(financials[[#This Row],[Schedule Delivery Date]])</f>
        <v>2026</v>
      </c>
      <c r="K488" s="7">
        <v>8</v>
      </c>
      <c r="L488" s="9">
        <v>46027</v>
      </c>
      <c r="M488" s="9">
        <v>46024</v>
      </c>
    </row>
    <row r="489" spans="1:13" x14ac:dyDescent="0.25">
      <c r="A489" t="s">
        <v>8</v>
      </c>
      <c r="B489">
        <v>663</v>
      </c>
      <c r="C489" t="s">
        <v>13</v>
      </c>
      <c r="D489" s="3" t="s">
        <v>31</v>
      </c>
      <c r="E489" s="1">
        <v>51881.25</v>
      </c>
      <c r="F489">
        <v>2767</v>
      </c>
      <c r="G489" s="1">
        <v>3</v>
      </c>
      <c r="H489" s="1">
        <v>125</v>
      </c>
      <c r="I489" s="3" t="str">
        <f>TEXT(financials[[#This Row],[Schedule Delivery Date]],"mmmm")</f>
        <v>January</v>
      </c>
      <c r="J489">
        <f>YEAR(financials[[#This Row],[Schedule Delivery Date]])</f>
        <v>2026</v>
      </c>
      <c r="K489" s="7">
        <v>8</v>
      </c>
      <c r="L489" s="9">
        <v>46027</v>
      </c>
      <c r="M489" s="9">
        <v>46025</v>
      </c>
    </row>
    <row r="490" spans="1:13" x14ac:dyDescent="0.25">
      <c r="A490" t="s">
        <v>9</v>
      </c>
      <c r="B490">
        <v>664</v>
      </c>
      <c r="C490" t="s">
        <v>55</v>
      </c>
      <c r="D490" s="3" t="s">
        <v>35</v>
      </c>
      <c r="E490" s="1">
        <v>98245</v>
      </c>
      <c r="F490">
        <v>2807</v>
      </c>
      <c r="G490" s="1">
        <v>250</v>
      </c>
      <c r="H490" s="1">
        <v>350</v>
      </c>
      <c r="I490" s="3" t="str">
        <f>TEXT(financials[[#This Row],[Schedule Delivery Date]],"mmmm")</f>
        <v>January</v>
      </c>
      <c r="J490">
        <f>YEAR(financials[[#This Row],[Schedule Delivery Date]])</f>
        <v>2026</v>
      </c>
      <c r="K490" s="7">
        <v>8</v>
      </c>
      <c r="L490" s="9">
        <v>46027</v>
      </c>
      <c r="M490" s="9">
        <v>46024</v>
      </c>
    </row>
    <row r="491" spans="1:13" x14ac:dyDescent="0.25">
      <c r="A491" t="s">
        <v>6</v>
      </c>
      <c r="B491">
        <v>665</v>
      </c>
      <c r="C491" t="s">
        <v>55</v>
      </c>
      <c r="D491" s="3" t="s">
        <v>35</v>
      </c>
      <c r="E491" s="1">
        <v>106722</v>
      </c>
      <c r="F491">
        <v>2541</v>
      </c>
      <c r="G491" s="1">
        <v>250</v>
      </c>
      <c r="H491" s="1">
        <v>300</v>
      </c>
      <c r="I491" s="3" t="str">
        <f>TEXT(financials[[#This Row],[Schedule Delivery Date]],"mmmm")</f>
        <v>January</v>
      </c>
      <c r="J491">
        <f>YEAR(financials[[#This Row],[Schedule Delivery Date]])</f>
        <v>2026</v>
      </c>
      <c r="K491" s="7">
        <v>8</v>
      </c>
      <c r="L491" s="9">
        <v>46027</v>
      </c>
      <c r="M491" s="9">
        <v>46027</v>
      </c>
    </row>
    <row r="492" spans="1:13" x14ac:dyDescent="0.25">
      <c r="A492" t="s">
        <v>9</v>
      </c>
      <c r="B492">
        <v>666</v>
      </c>
      <c r="C492" t="s">
        <v>13</v>
      </c>
      <c r="D492" s="3" t="s">
        <v>32</v>
      </c>
      <c r="E492" s="1">
        <v>0</v>
      </c>
      <c r="F492">
        <v>2146</v>
      </c>
      <c r="G492" s="1">
        <v>5</v>
      </c>
      <c r="H492" s="1">
        <v>7</v>
      </c>
      <c r="I492" s="3" t="str">
        <f>TEXT(financials[[#This Row],[Schedule Delivery Date]],"mmmm")</f>
        <v>January</v>
      </c>
      <c r="J492">
        <f>YEAR(financials[[#This Row],[Schedule Delivery Date]])</f>
        <v>2026</v>
      </c>
      <c r="K492" s="7">
        <v>9</v>
      </c>
      <c r="L492" s="9">
        <v>46027</v>
      </c>
      <c r="M492" s="9">
        <v>46024</v>
      </c>
    </row>
    <row r="493" spans="1:13" x14ac:dyDescent="0.25">
      <c r="A493" t="s">
        <v>7</v>
      </c>
      <c r="B493">
        <v>667</v>
      </c>
      <c r="C493" t="s">
        <v>14</v>
      </c>
      <c r="D493" s="3" t="s">
        <v>33</v>
      </c>
      <c r="E493" s="1">
        <v>0</v>
      </c>
      <c r="F493">
        <v>2472</v>
      </c>
      <c r="G493" s="1">
        <v>10</v>
      </c>
      <c r="H493" s="1">
        <v>15</v>
      </c>
      <c r="I493" s="3" t="str">
        <f>TEXT(financials[[#This Row],[Schedule Delivery Date]],"mmmm")</f>
        <v>January</v>
      </c>
      <c r="J493">
        <f>YEAR(financials[[#This Row],[Schedule Delivery Date]])</f>
        <v>2026</v>
      </c>
      <c r="K493" s="7">
        <v>9</v>
      </c>
      <c r="L493" s="9">
        <v>46027</v>
      </c>
      <c r="M493" s="9">
        <v>46024</v>
      </c>
    </row>
    <row r="494" spans="1:13" x14ac:dyDescent="0.25">
      <c r="A494" t="s">
        <v>6</v>
      </c>
      <c r="B494">
        <v>668</v>
      </c>
      <c r="C494" t="s">
        <v>12</v>
      </c>
      <c r="D494" s="3" t="s">
        <v>35</v>
      </c>
      <c r="E494" s="1">
        <v>0</v>
      </c>
      <c r="F494">
        <v>2151</v>
      </c>
      <c r="G494" s="1">
        <v>250</v>
      </c>
      <c r="H494" s="1">
        <v>300</v>
      </c>
      <c r="I494" s="3" t="str">
        <f>TEXT(financials[[#This Row],[Schedule Delivery Date]],"mmmm")</f>
        <v>January</v>
      </c>
      <c r="J494">
        <f>YEAR(financials[[#This Row],[Schedule Delivery Date]])</f>
        <v>2026</v>
      </c>
      <c r="K494" s="7">
        <v>9</v>
      </c>
      <c r="L494" s="9">
        <v>46027</v>
      </c>
      <c r="M494" s="9">
        <v>46024</v>
      </c>
    </row>
    <row r="495" spans="1:13" x14ac:dyDescent="0.25">
      <c r="A495" t="s">
        <v>7</v>
      </c>
      <c r="B495">
        <v>669</v>
      </c>
      <c r="C495" t="s">
        <v>13</v>
      </c>
      <c r="D495" s="3" t="s">
        <v>33</v>
      </c>
      <c r="E495" s="1">
        <v>112.05</v>
      </c>
      <c r="F495">
        <v>747</v>
      </c>
      <c r="G495" s="1">
        <v>10</v>
      </c>
      <c r="H495" s="1">
        <v>15</v>
      </c>
      <c r="I495" s="3" t="str">
        <f>TEXT(financials[[#This Row],[Schedule Delivery Date]],"mmmm")</f>
        <v>January</v>
      </c>
      <c r="J495">
        <f>YEAR(financials[[#This Row],[Schedule Delivery Date]])</f>
        <v>2026</v>
      </c>
      <c r="K495" s="7">
        <v>9</v>
      </c>
      <c r="L495" s="9">
        <v>46043</v>
      </c>
      <c r="M495" s="9">
        <v>45997</v>
      </c>
    </row>
    <row r="496" spans="1:13" x14ac:dyDescent="0.25">
      <c r="A496" t="s">
        <v>9</v>
      </c>
      <c r="B496">
        <v>670</v>
      </c>
      <c r="C496" t="s">
        <v>12</v>
      </c>
      <c r="D496" s="3" t="s">
        <v>32</v>
      </c>
      <c r="E496" s="1">
        <v>114.24</v>
      </c>
      <c r="F496">
        <v>544</v>
      </c>
      <c r="G496" s="1">
        <v>5</v>
      </c>
      <c r="H496" s="1">
        <v>7</v>
      </c>
      <c r="I496" s="3" t="str">
        <f>TEXT(financials[[#This Row],[Schedule Delivery Date]],"mmmm")</f>
        <v>January</v>
      </c>
      <c r="J496">
        <f>YEAR(financials[[#This Row],[Schedule Delivery Date]])</f>
        <v>2026</v>
      </c>
      <c r="K496" s="7">
        <v>9</v>
      </c>
      <c r="L496" s="9">
        <v>46027</v>
      </c>
      <c r="M496" s="9">
        <v>46025</v>
      </c>
    </row>
    <row r="497" spans="1:13" x14ac:dyDescent="0.25">
      <c r="A497" t="s">
        <v>7</v>
      </c>
      <c r="B497">
        <v>671</v>
      </c>
      <c r="C497" t="s">
        <v>11</v>
      </c>
      <c r="D497" s="3" t="s">
        <v>33</v>
      </c>
      <c r="E497" s="1">
        <v>130.80000000000001</v>
      </c>
      <c r="F497">
        <v>218</v>
      </c>
      <c r="G497" s="1">
        <v>10</v>
      </c>
      <c r="H497" s="1">
        <v>15</v>
      </c>
      <c r="I497" s="3" t="str">
        <f>TEXT(financials[[#This Row],[Schedule Delivery Date]],"mmmm")</f>
        <v>January</v>
      </c>
      <c r="J497">
        <f>YEAR(financials[[#This Row],[Schedule Delivery Date]])</f>
        <v>2026</v>
      </c>
      <c r="K497" s="7">
        <v>9</v>
      </c>
      <c r="L497" s="9">
        <v>46037</v>
      </c>
      <c r="M497" s="9">
        <v>46037</v>
      </c>
    </row>
    <row r="498" spans="1:13" x14ac:dyDescent="0.25">
      <c r="A498" t="s">
        <v>10</v>
      </c>
      <c r="B498">
        <v>672</v>
      </c>
      <c r="C498" t="s">
        <v>11</v>
      </c>
      <c r="D498" s="3" t="s">
        <v>31</v>
      </c>
      <c r="E498" s="1">
        <v>173.4</v>
      </c>
      <c r="F498">
        <v>1445</v>
      </c>
      <c r="G498" s="1">
        <v>3</v>
      </c>
      <c r="H498" s="1">
        <v>12</v>
      </c>
      <c r="I498" s="3" t="str">
        <f>TEXT(financials[[#This Row],[Schedule Delivery Date]],"mmmm")</f>
        <v>January</v>
      </c>
      <c r="J498">
        <f>YEAR(financials[[#This Row],[Schedule Delivery Date]])</f>
        <v>2026</v>
      </c>
      <c r="K498" s="7">
        <v>9</v>
      </c>
      <c r="L498" s="9">
        <v>46027</v>
      </c>
      <c r="M498" s="9">
        <v>46024</v>
      </c>
    </row>
    <row r="499" spans="1:13" x14ac:dyDescent="0.25">
      <c r="A499" t="s">
        <v>10</v>
      </c>
      <c r="B499">
        <v>673</v>
      </c>
      <c r="C499" t="s">
        <v>12</v>
      </c>
      <c r="D499" s="3" t="s">
        <v>31</v>
      </c>
      <c r="E499" s="1">
        <v>320.52</v>
      </c>
      <c r="F499">
        <v>2671</v>
      </c>
      <c r="G499" s="1">
        <v>3</v>
      </c>
      <c r="H499" s="1">
        <v>12</v>
      </c>
      <c r="I499" s="3" t="str">
        <f>TEXT(financials[[#This Row],[Schedule Delivery Date]],"mmmm")</f>
        <v>January</v>
      </c>
      <c r="J499">
        <f>YEAR(financials[[#This Row],[Schedule Delivery Date]])</f>
        <v>2026</v>
      </c>
      <c r="K499" s="7">
        <v>9</v>
      </c>
      <c r="L499" s="9">
        <v>46027</v>
      </c>
      <c r="M499" s="9">
        <v>46024</v>
      </c>
    </row>
    <row r="500" spans="1:13" x14ac:dyDescent="0.25">
      <c r="A500" t="s">
        <v>9</v>
      </c>
      <c r="B500">
        <v>674</v>
      </c>
      <c r="C500" t="s">
        <v>11</v>
      </c>
      <c r="D500" s="3" t="s">
        <v>32</v>
      </c>
      <c r="E500" s="1">
        <v>380.24</v>
      </c>
      <c r="F500">
        <v>388</v>
      </c>
      <c r="G500" s="1">
        <v>5</v>
      </c>
      <c r="H500" s="1">
        <v>7</v>
      </c>
      <c r="I500" s="3" t="str">
        <f>TEXT(financials[[#This Row],[Schedule Delivery Date]],"mmmm")</f>
        <v>January</v>
      </c>
      <c r="J500">
        <f>YEAR(financials[[#This Row],[Schedule Delivery Date]])</f>
        <v>2026</v>
      </c>
      <c r="K500" s="7">
        <v>9</v>
      </c>
      <c r="L500" s="9">
        <v>46027</v>
      </c>
      <c r="M500" s="9">
        <v>46025</v>
      </c>
    </row>
    <row r="501" spans="1:13" x14ac:dyDescent="0.25">
      <c r="A501" t="s">
        <v>10</v>
      </c>
      <c r="B501">
        <v>675</v>
      </c>
      <c r="C501" t="s">
        <v>14</v>
      </c>
      <c r="D501" s="3" t="s">
        <v>31</v>
      </c>
      <c r="E501" s="1">
        <v>404.64</v>
      </c>
      <c r="F501">
        <v>562</v>
      </c>
      <c r="G501" s="1">
        <v>3</v>
      </c>
      <c r="H501" s="1">
        <v>12</v>
      </c>
      <c r="I501" s="3" t="str">
        <f>TEXT(financials[[#This Row],[Schedule Delivery Date]],"mmmm")</f>
        <v>January</v>
      </c>
      <c r="J501">
        <f>YEAR(financials[[#This Row],[Schedule Delivery Date]])</f>
        <v>2026</v>
      </c>
      <c r="K501" s="7">
        <v>9</v>
      </c>
      <c r="L501" s="9">
        <v>46027</v>
      </c>
      <c r="M501" s="9">
        <v>46024</v>
      </c>
    </row>
    <row r="502" spans="1:13" x14ac:dyDescent="0.25">
      <c r="A502" t="s">
        <v>10</v>
      </c>
      <c r="B502">
        <v>676</v>
      </c>
      <c r="C502" t="s">
        <v>55</v>
      </c>
      <c r="D502" s="3" t="s">
        <v>31</v>
      </c>
      <c r="E502" s="1">
        <v>700.92</v>
      </c>
      <c r="F502">
        <v>1947</v>
      </c>
      <c r="G502" s="1">
        <v>3</v>
      </c>
      <c r="H502" s="1">
        <v>12</v>
      </c>
      <c r="I502" s="3" t="str">
        <f>TEXT(financials[[#This Row],[Schedule Delivery Date]],"mmmm")</f>
        <v>January</v>
      </c>
      <c r="J502">
        <f>YEAR(financials[[#This Row],[Schedule Delivery Date]])</f>
        <v>2026</v>
      </c>
      <c r="K502" s="7">
        <v>9</v>
      </c>
      <c r="L502" s="9">
        <v>46027</v>
      </c>
      <c r="M502" s="9">
        <v>46025</v>
      </c>
    </row>
    <row r="503" spans="1:13" x14ac:dyDescent="0.25">
      <c r="A503" t="s">
        <v>9</v>
      </c>
      <c r="B503">
        <v>677</v>
      </c>
      <c r="C503" t="s">
        <v>55</v>
      </c>
      <c r="D503" s="3" t="s">
        <v>33</v>
      </c>
      <c r="E503" s="1">
        <v>844.8</v>
      </c>
      <c r="F503">
        <v>1056</v>
      </c>
      <c r="G503" s="1">
        <v>10</v>
      </c>
      <c r="H503" s="1">
        <v>20</v>
      </c>
      <c r="I503" s="3" t="str">
        <f>TEXT(financials[[#This Row],[Schedule Delivery Date]],"mmmm")</f>
        <v>January</v>
      </c>
      <c r="J503">
        <f>YEAR(financials[[#This Row],[Schedule Delivery Date]])</f>
        <v>2026</v>
      </c>
      <c r="K503" s="7">
        <v>9</v>
      </c>
      <c r="L503" s="9">
        <v>46027</v>
      </c>
      <c r="M503" s="9">
        <v>46025</v>
      </c>
    </row>
    <row r="504" spans="1:13" x14ac:dyDescent="0.25">
      <c r="A504" t="s">
        <v>9</v>
      </c>
      <c r="B504">
        <v>678</v>
      </c>
      <c r="C504" t="s">
        <v>55</v>
      </c>
      <c r="D504" s="3" t="s">
        <v>32</v>
      </c>
      <c r="E504" s="1">
        <v>1629.6</v>
      </c>
      <c r="F504">
        <v>2328</v>
      </c>
      <c r="G504" s="1">
        <v>5</v>
      </c>
      <c r="H504" s="1">
        <v>7</v>
      </c>
      <c r="I504" s="3" t="str">
        <f>TEXT(financials[[#This Row],[Schedule Delivery Date]],"mmmm")</f>
        <v>January</v>
      </c>
      <c r="J504">
        <f>YEAR(financials[[#This Row],[Schedule Delivery Date]])</f>
        <v>2026</v>
      </c>
      <c r="K504" s="7">
        <v>9</v>
      </c>
      <c r="L504" s="9">
        <v>46027</v>
      </c>
      <c r="M504" s="9">
        <v>46024</v>
      </c>
    </row>
    <row r="505" spans="1:13" x14ac:dyDescent="0.25">
      <c r="A505" t="s">
        <v>9</v>
      </c>
      <c r="B505">
        <v>679</v>
      </c>
      <c r="C505" t="s">
        <v>11</v>
      </c>
      <c r="D505" s="3" t="s">
        <v>33</v>
      </c>
      <c r="E505" s="1">
        <v>1659.2</v>
      </c>
      <c r="F505">
        <v>2074</v>
      </c>
      <c r="G505" s="1">
        <v>10</v>
      </c>
      <c r="H505" s="1">
        <v>20</v>
      </c>
      <c r="I505" s="3" t="str">
        <f>TEXT(financials[[#This Row],[Schedule Delivery Date]],"mmmm")</f>
        <v>January</v>
      </c>
      <c r="J505">
        <f>YEAR(financials[[#This Row],[Schedule Delivery Date]])</f>
        <v>2026</v>
      </c>
      <c r="K505" s="7">
        <v>9</v>
      </c>
      <c r="L505" s="9">
        <v>46027</v>
      </c>
      <c r="M505" s="9">
        <v>46024</v>
      </c>
    </row>
    <row r="506" spans="1:13" x14ac:dyDescent="0.25">
      <c r="A506" t="s">
        <v>10</v>
      </c>
      <c r="B506">
        <v>680</v>
      </c>
      <c r="C506" t="s">
        <v>13</v>
      </c>
      <c r="D506" s="3" t="s">
        <v>31</v>
      </c>
      <c r="E506" s="1">
        <v>1706.4</v>
      </c>
      <c r="F506">
        <v>1580</v>
      </c>
      <c r="G506" s="1">
        <v>3</v>
      </c>
      <c r="H506" s="1">
        <v>12</v>
      </c>
      <c r="I506" s="3" t="str">
        <f>TEXT(financials[[#This Row],[Schedule Delivery Date]],"mmmm")</f>
        <v>January</v>
      </c>
      <c r="J506">
        <f>YEAR(financials[[#This Row],[Schedule Delivery Date]])</f>
        <v>2026</v>
      </c>
      <c r="K506" s="7">
        <v>9</v>
      </c>
      <c r="L506" s="9">
        <v>46027</v>
      </c>
      <c r="M506" s="9">
        <v>46024</v>
      </c>
    </row>
    <row r="507" spans="1:13" x14ac:dyDescent="0.25">
      <c r="A507" t="s">
        <v>7</v>
      </c>
      <c r="B507">
        <v>681</v>
      </c>
      <c r="C507" t="s">
        <v>12</v>
      </c>
      <c r="D507" s="3" t="s">
        <v>33</v>
      </c>
      <c r="E507" s="1">
        <v>1965</v>
      </c>
      <c r="F507">
        <v>2620</v>
      </c>
      <c r="G507" s="1">
        <v>10</v>
      </c>
      <c r="H507" s="1">
        <v>15</v>
      </c>
      <c r="I507" s="3" t="str">
        <f>TEXT(financials[[#This Row],[Schedule Delivery Date]],"mmmm")</f>
        <v>January</v>
      </c>
      <c r="J507">
        <f>YEAR(financials[[#This Row],[Schedule Delivery Date]])</f>
        <v>2026</v>
      </c>
      <c r="K507" s="7">
        <v>9</v>
      </c>
      <c r="L507" s="9">
        <v>46030</v>
      </c>
      <c r="M507" s="9">
        <v>46026</v>
      </c>
    </row>
    <row r="508" spans="1:13" x14ac:dyDescent="0.25">
      <c r="A508" t="s">
        <v>9</v>
      </c>
      <c r="B508">
        <v>682</v>
      </c>
      <c r="C508" t="s">
        <v>14</v>
      </c>
      <c r="D508" s="3" t="s">
        <v>32</v>
      </c>
      <c r="E508" s="1">
        <v>2032.8</v>
      </c>
      <c r="F508">
        <v>2420</v>
      </c>
      <c r="G508" s="1">
        <v>5</v>
      </c>
      <c r="H508" s="1">
        <v>7</v>
      </c>
      <c r="I508" s="3" t="str">
        <f>TEXT(financials[[#This Row],[Schedule Delivery Date]],"mmmm")</f>
        <v>January</v>
      </c>
      <c r="J508">
        <f>YEAR(financials[[#This Row],[Schedule Delivery Date]])</f>
        <v>2026</v>
      </c>
      <c r="K508" s="7">
        <v>9</v>
      </c>
      <c r="L508" s="9">
        <v>46027</v>
      </c>
      <c r="M508" s="9">
        <v>46024</v>
      </c>
    </row>
    <row r="509" spans="1:13" x14ac:dyDescent="0.25">
      <c r="A509" t="s">
        <v>9</v>
      </c>
      <c r="B509">
        <v>683</v>
      </c>
      <c r="C509" t="s">
        <v>12</v>
      </c>
      <c r="D509" s="3" t="s">
        <v>33</v>
      </c>
      <c r="E509" s="1">
        <v>2149</v>
      </c>
      <c r="F509">
        <v>1535</v>
      </c>
      <c r="G509" s="1">
        <v>10</v>
      </c>
      <c r="H509" s="1">
        <v>20</v>
      </c>
      <c r="I509" s="3" t="str">
        <f>TEXT(financials[[#This Row],[Schedule Delivery Date]],"mmmm")</f>
        <v>January</v>
      </c>
      <c r="J509">
        <f>YEAR(financials[[#This Row],[Schedule Delivery Date]])</f>
        <v>2026</v>
      </c>
      <c r="K509" s="7">
        <v>9</v>
      </c>
      <c r="L509" s="9">
        <v>46030</v>
      </c>
      <c r="M509" s="9">
        <v>46028</v>
      </c>
    </row>
    <row r="510" spans="1:13" x14ac:dyDescent="0.25">
      <c r="A510" t="s">
        <v>6</v>
      </c>
      <c r="B510">
        <v>684</v>
      </c>
      <c r="C510" t="s">
        <v>13</v>
      </c>
      <c r="D510" s="3" t="s">
        <v>35</v>
      </c>
      <c r="E510" s="1">
        <v>2958</v>
      </c>
      <c r="F510">
        <v>986</v>
      </c>
      <c r="G510" s="1">
        <v>250</v>
      </c>
      <c r="H510" s="1">
        <v>300</v>
      </c>
      <c r="I510" s="3" t="str">
        <f>TEXT(financials[[#This Row],[Schedule Delivery Date]],"mmmm")</f>
        <v>January</v>
      </c>
      <c r="J510">
        <f>YEAR(financials[[#This Row],[Schedule Delivery Date]])</f>
        <v>2026</v>
      </c>
      <c r="K510" s="7">
        <v>9</v>
      </c>
      <c r="L510" s="9">
        <v>46027</v>
      </c>
      <c r="M510" s="9">
        <v>46024</v>
      </c>
    </row>
    <row r="511" spans="1:13" x14ac:dyDescent="0.25">
      <c r="A511" t="s">
        <v>9</v>
      </c>
      <c r="B511">
        <v>685</v>
      </c>
      <c r="C511" t="s">
        <v>13</v>
      </c>
      <c r="D511" s="3" t="s">
        <v>33</v>
      </c>
      <c r="E511" s="1">
        <v>3094.4</v>
      </c>
      <c r="F511">
        <v>1934</v>
      </c>
      <c r="G511" s="1">
        <v>10</v>
      </c>
      <c r="H511" s="1">
        <v>20</v>
      </c>
      <c r="I511" s="3" t="str">
        <f>TEXT(financials[[#This Row],[Schedule Delivery Date]],"mmmm")</f>
        <v>January</v>
      </c>
      <c r="J511">
        <f>YEAR(financials[[#This Row],[Schedule Delivery Date]])</f>
        <v>2026</v>
      </c>
      <c r="K511" s="7">
        <v>9</v>
      </c>
      <c r="L511" s="9">
        <v>46032</v>
      </c>
      <c r="M511" s="9">
        <v>46028</v>
      </c>
    </row>
    <row r="512" spans="1:13" x14ac:dyDescent="0.25">
      <c r="A512" t="s">
        <v>7</v>
      </c>
      <c r="B512">
        <v>686</v>
      </c>
      <c r="C512" t="s">
        <v>55</v>
      </c>
      <c r="D512" s="3" t="s">
        <v>33</v>
      </c>
      <c r="E512" s="1">
        <v>3710.7</v>
      </c>
      <c r="F512">
        <v>1767</v>
      </c>
      <c r="G512" s="1">
        <v>10</v>
      </c>
      <c r="H512" s="1">
        <v>15</v>
      </c>
      <c r="I512" s="3" t="str">
        <f>TEXT(financials[[#This Row],[Schedule Delivery Date]],"mmmm")</f>
        <v>January</v>
      </c>
      <c r="J512">
        <f>YEAR(financials[[#This Row],[Schedule Delivery Date]])</f>
        <v>2026</v>
      </c>
      <c r="K512" s="7">
        <v>9</v>
      </c>
      <c r="L512" s="9">
        <v>46027</v>
      </c>
      <c r="M512" s="9">
        <v>46026</v>
      </c>
    </row>
    <row r="513" spans="1:13" x14ac:dyDescent="0.25">
      <c r="A513" t="s">
        <v>9</v>
      </c>
      <c r="B513">
        <v>687</v>
      </c>
      <c r="C513" t="s">
        <v>14</v>
      </c>
      <c r="D513" s="3" t="s">
        <v>33</v>
      </c>
      <c r="E513" s="1">
        <v>4788.8</v>
      </c>
      <c r="F513">
        <v>2993</v>
      </c>
      <c r="G513" s="1">
        <v>10</v>
      </c>
      <c r="H513" s="1">
        <v>20</v>
      </c>
      <c r="I513" s="3" t="str">
        <f>TEXT(financials[[#This Row],[Schedule Delivery Date]],"mmmm")</f>
        <v>January</v>
      </c>
      <c r="J513">
        <f>YEAR(financials[[#This Row],[Schedule Delivery Date]])</f>
        <v>2026</v>
      </c>
      <c r="K513" s="7">
        <v>9</v>
      </c>
      <c r="L513" s="9">
        <v>46027</v>
      </c>
      <c r="M513" s="9">
        <v>46024</v>
      </c>
    </row>
    <row r="514" spans="1:13" x14ac:dyDescent="0.25">
      <c r="A514" t="s">
        <v>8</v>
      </c>
      <c r="B514">
        <v>688</v>
      </c>
      <c r="C514" t="s">
        <v>11</v>
      </c>
      <c r="D514" s="3" t="s">
        <v>34</v>
      </c>
      <c r="E514" s="1">
        <v>6378.75</v>
      </c>
      <c r="F514">
        <v>567</v>
      </c>
      <c r="G514" s="1">
        <v>120</v>
      </c>
      <c r="H514" s="1">
        <v>125</v>
      </c>
      <c r="I514" s="3" t="str">
        <f>TEXT(financials[[#This Row],[Schedule Delivery Date]],"mmmm")</f>
        <v>January</v>
      </c>
      <c r="J514">
        <f>YEAR(financials[[#This Row],[Schedule Delivery Date]])</f>
        <v>2026</v>
      </c>
      <c r="K514" s="7">
        <v>9</v>
      </c>
      <c r="L514" s="9">
        <v>46027</v>
      </c>
      <c r="M514" s="9">
        <v>46024</v>
      </c>
    </row>
    <row r="515" spans="1:13" x14ac:dyDescent="0.25">
      <c r="A515" t="s">
        <v>8</v>
      </c>
      <c r="B515">
        <v>689</v>
      </c>
      <c r="C515" t="s">
        <v>12</v>
      </c>
      <c r="D515" s="3" t="s">
        <v>34</v>
      </c>
      <c r="E515" s="1">
        <v>12431.25</v>
      </c>
      <c r="F515">
        <v>663</v>
      </c>
      <c r="G515" s="1">
        <v>120</v>
      </c>
      <c r="H515" s="1">
        <v>125</v>
      </c>
      <c r="I515" s="3" t="str">
        <f>TEXT(financials[[#This Row],[Schedule Delivery Date]],"mmmm")</f>
        <v>January</v>
      </c>
      <c r="J515">
        <f>YEAR(financials[[#This Row],[Schedule Delivery Date]])</f>
        <v>2026</v>
      </c>
      <c r="K515" s="7">
        <v>9</v>
      </c>
      <c r="L515" s="9">
        <v>46027</v>
      </c>
      <c r="M515" s="9">
        <v>46025</v>
      </c>
    </row>
    <row r="516" spans="1:13" x14ac:dyDescent="0.25">
      <c r="A516" t="s">
        <v>6</v>
      </c>
      <c r="B516">
        <v>690</v>
      </c>
      <c r="C516" t="s">
        <v>14</v>
      </c>
      <c r="D516" s="3" t="s">
        <v>35</v>
      </c>
      <c r="E516" s="1">
        <v>12960</v>
      </c>
      <c r="F516">
        <v>432</v>
      </c>
      <c r="G516" s="1">
        <v>250</v>
      </c>
      <c r="H516" s="1">
        <v>300</v>
      </c>
      <c r="I516" s="3" t="str">
        <f>TEXT(financials[[#This Row],[Schedule Delivery Date]],"mmmm")</f>
        <v>January</v>
      </c>
      <c r="J516">
        <f>YEAR(financials[[#This Row],[Schedule Delivery Date]])</f>
        <v>2026</v>
      </c>
      <c r="K516" s="7">
        <v>9</v>
      </c>
      <c r="L516" s="9">
        <v>46027</v>
      </c>
      <c r="M516" s="9">
        <v>46024</v>
      </c>
    </row>
    <row r="517" spans="1:13" x14ac:dyDescent="0.25">
      <c r="A517" t="s">
        <v>8</v>
      </c>
      <c r="B517">
        <v>691</v>
      </c>
      <c r="C517" t="s">
        <v>13</v>
      </c>
      <c r="D517" s="3" t="s">
        <v>34</v>
      </c>
      <c r="E517" s="1">
        <v>18261.25</v>
      </c>
      <c r="F517">
        <v>2087</v>
      </c>
      <c r="G517" s="1">
        <v>120</v>
      </c>
      <c r="H517" s="1">
        <v>125</v>
      </c>
      <c r="I517" s="3" t="str">
        <f>TEXT(financials[[#This Row],[Schedule Delivery Date]],"mmmm")</f>
        <v>January</v>
      </c>
      <c r="J517">
        <f>YEAR(financials[[#This Row],[Schedule Delivery Date]])</f>
        <v>2026</v>
      </c>
      <c r="K517" s="7">
        <v>9</v>
      </c>
      <c r="L517" s="9">
        <v>46027</v>
      </c>
      <c r="M517" s="9">
        <v>46025</v>
      </c>
    </row>
    <row r="518" spans="1:13" x14ac:dyDescent="0.25">
      <c r="A518" t="s">
        <v>8</v>
      </c>
      <c r="B518">
        <v>692</v>
      </c>
      <c r="C518" t="s">
        <v>55</v>
      </c>
      <c r="D518" s="3" t="s">
        <v>34</v>
      </c>
      <c r="E518" s="1">
        <v>19950</v>
      </c>
      <c r="F518">
        <v>1596</v>
      </c>
      <c r="G518" s="1">
        <v>120</v>
      </c>
      <c r="H518" s="1">
        <v>125</v>
      </c>
      <c r="I518" s="3" t="str">
        <f>TEXT(financials[[#This Row],[Schedule Delivery Date]],"mmmm")</f>
        <v>January</v>
      </c>
      <c r="J518">
        <f>YEAR(financials[[#This Row],[Schedule Delivery Date]])</f>
        <v>2026</v>
      </c>
      <c r="K518" s="7">
        <v>9</v>
      </c>
      <c r="L518" s="9">
        <v>46027</v>
      </c>
      <c r="M518" s="9">
        <v>46024</v>
      </c>
    </row>
    <row r="519" spans="1:13" x14ac:dyDescent="0.25">
      <c r="A519" t="s">
        <v>8</v>
      </c>
      <c r="B519">
        <v>693</v>
      </c>
      <c r="C519" t="s">
        <v>14</v>
      </c>
      <c r="D519" s="3" t="s">
        <v>34</v>
      </c>
      <c r="E519" s="1">
        <v>23737.5</v>
      </c>
      <c r="F519">
        <v>2110</v>
      </c>
      <c r="G519" s="1">
        <v>120</v>
      </c>
      <c r="H519" s="1">
        <v>125</v>
      </c>
      <c r="I519" s="3" t="str">
        <f>TEXT(financials[[#This Row],[Schedule Delivery Date]],"mmmm")</f>
        <v>January</v>
      </c>
      <c r="J519">
        <f>YEAR(financials[[#This Row],[Schedule Delivery Date]])</f>
        <v>2026</v>
      </c>
      <c r="K519" s="7">
        <v>9</v>
      </c>
      <c r="L519" s="9">
        <v>46027</v>
      </c>
      <c r="M519" s="9">
        <v>46024</v>
      </c>
    </row>
    <row r="520" spans="1:13" x14ac:dyDescent="0.25">
      <c r="A520" t="s">
        <v>9</v>
      </c>
      <c r="B520">
        <v>694</v>
      </c>
      <c r="C520" t="s">
        <v>11</v>
      </c>
      <c r="D520" s="3" t="s">
        <v>36</v>
      </c>
      <c r="E520" s="1">
        <v>24745</v>
      </c>
      <c r="F520">
        <v>707</v>
      </c>
      <c r="G520" s="1">
        <v>260</v>
      </c>
      <c r="H520" s="1">
        <v>350</v>
      </c>
      <c r="I520" s="3" t="str">
        <f>TEXT(financials[[#This Row],[Schedule Delivery Date]],"mmmm")</f>
        <v>January</v>
      </c>
      <c r="J520">
        <f>YEAR(financials[[#This Row],[Schedule Delivery Date]])</f>
        <v>2026</v>
      </c>
      <c r="K520" s="7">
        <v>9</v>
      </c>
      <c r="L520" s="9">
        <v>46027</v>
      </c>
      <c r="M520" s="9">
        <v>46024</v>
      </c>
    </row>
    <row r="521" spans="1:13" x14ac:dyDescent="0.25">
      <c r="A521" t="s">
        <v>9</v>
      </c>
      <c r="B521">
        <v>695</v>
      </c>
      <c r="C521" t="s">
        <v>13</v>
      </c>
      <c r="D521" s="3" t="s">
        <v>36</v>
      </c>
      <c r="E521" s="1">
        <v>26698</v>
      </c>
      <c r="F521">
        <v>1907</v>
      </c>
      <c r="G521" s="1">
        <v>260</v>
      </c>
      <c r="H521" s="1">
        <v>350</v>
      </c>
      <c r="I521" s="3" t="str">
        <f>TEXT(financials[[#This Row],[Schedule Delivery Date]],"mmmm")</f>
        <v>January</v>
      </c>
      <c r="J521">
        <f>YEAR(financials[[#This Row],[Schedule Delivery Date]])</f>
        <v>2026</v>
      </c>
      <c r="K521" s="7">
        <v>9</v>
      </c>
      <c r="L521" s="9">
        <v>46027</v>
      </c>
      <c r="M521" s="9">
        <v>46024</v>
      </c>
    </row>
    <row r="522" spans="1:13" x14ac:dyDescent="0.25">
      <c r="A522" t="s">
        <v>9</v>
      </c>
      <c r="B522">
        <v>696</v>
      </c>
      <c r="C522" t="s">
        <v>14</v>
      </c>
      <c r="D522" s="3" t="s">
        <v>36</v>
      </c>
      <c r="E522" s="1">
        <v>35259</v>
      </c>
      <c r="F522">
        <v>1679</v>
      </c>
      <c r="G522" s="1">
        <v>260</v>
      </c>
      <c r="H522" s="1">
        <v>350</v>
      </c>
      <c r="I522" s="3" t="str">
        <f>TEXT(financials[[#This Row],[Schedule Delivery Date]],"mmmm")</f>
        <v>January</v>
      </c>
      <c r="J522">
        <f>YEAR(financials[[#This Row],[Schedule Delivery Date]])</f>
        <v>2026</v>
      </c>
      <c r="K522" s="7">
        <v>9</v>
      </c>
      <c r="L522" s="9">
        <v>46027</v>
      </c>
      <c r="M522" s="9">
        <v>46024</v>
      </c>
    </row>
    <row r="523" spans="1:13" x14ac:dyDescent="0.25">
      <c r="A523" t="s">
        <v>6</v>
      </c>
      <c r="B523">
        <v>697</v>
      </c>
      <c r="C523" t="s">
        <v>55</v>
      </c>
      <c r="D523" s="3" t="s">
        <v>35</v>
      </c>
      <c r="E523" s="1">
        <v>50409</v>
      </c>
      <c r="F523">
        <v>1867</v>
      </c>
      <c r="G523" s="1">
        <v>250</v>
      </c>
      <c r="H523" s="1">
        <v>300</v>
      </c>
      <c r="I523" s="3" t="str">
        <f>TEXT(financials[[#This Row],[Schedule Delivery Date]],"mmmm")</f>
        <v>January</v>
      </c>
      <c r="J523">
        <f>YEAR(financials[[#This Row],[Schedule Delivery Date]])</f>
        <v>2026</v>
      </c>
      <c r="K523" s="7">
        <v>9</v>
      </c>
      <c r="L523" s="9">
        <v>46044</v>
      </c>
      <c r="M523" s="9">
        <v>46044</v>
      </c>
    </row>
    <row r="524" spans="1:13" x14ac:dyDescent="0.25">
      <c r="A524" t="s">
        <v>6</v>
      </c>
      <c r="B524">
        <v>698</v>
      </c>
      <c r="C524" t="s">
        <v>11</v>
      </c>
      <c r="D524" s="3" t="s">
        <v>35</v>
      </c>
      <c r="E524" s="1">
        <v>51216</v>
      </c>
      <c r="F524">
        <v>2134</v>
      </c>
      <c r="G524" s="1">
        <v>250</v>
      </c>
      <c r="H524" s="1">
        <v>300</v>
      </c>
      <c r="I524" s="3" t="str">
        <f>TEXT(financials[[#This Row],[Schedule Delivery Date]],"mmmm")</f>
        <v>January</v>
      </c>
      <c r="J524">
        <f>YEAR(financials[[#This Row],[Schedule Delivery Date]])</f>
        <v>2026</v>
      </c>
      <c r="K524" s="7">
        <v>9</v>
      </c>
      <c r="L524" s="9">
        <v>46027</v>
      </c>
      <c r="M524" s="9">
        <v>46025</v>
      </c>
    </row>
    <row r="525" spans="1:13" x14ac:dyDescent="0.25">
      <c r="A525" t="s">
        <v>9</v>
      </c>
      <c r="B525">
        <v>699</v>
      </c>
      <c r="C525" t="s">
        <v>55</v>
      </c>
      <c r="D525" s="3" t="s">
        <v>36</v>
      </c>
      <c r="E525" s="1">
        <v>65236.5</v>
      </c>
      <c r="F525">
        <v>2071</v>
      </c>
      <c r="G525" s="1">
        <v>260</v>
      </c>
      <c r="H525" s="1">
        <v>350</v>
      </c>
      <c r="I525" s="3" t="str">
        <f>TEXT(financials[[#This Row],[Schedule Delivery Date]],"mmmm")</f>
        <v>January</v>
      </c>
      <c r="J525">
        <f>YEAR(financials[[#This Row],[Schedule Delivery Date]])</f>
        <v>2026</v>
      </c>
      <c r="K525" s="7">
        <v>9</v>
      </c>
      <c r="L525" s="9">
        <v>46027</v>
      </c>
      <c r="M525" s="9">
        <v>46025</v>
      </c>
    </row>
    <row r="526" spans="1:13" x14ac:dyDescent="0.25">
      <c r="A526" t="s">
        <v>9</v>
      </c>
      <c r="B526">
        <v>700</v>
      </c>
      <c r="C526" t="s">
        <v>12</v>
      </c>
      <c r="D526" s="3" t="s">
        <v>36</v>
      </c>
      <c r="E526" s="1">
        <v>70462</v>
      </c>
      <c r="F526">
        <v>2876</v>
      </c>
      <c r="G526" s="1">
        <v>260</v>
      </c>
      <c r="H526" s="1">
        <v>350</v>
      </c>
      <c r="I526" s="3" t="str">
        <f>TEXT(financials[[#This Row],[Schedule Delivery Date]],"mmmm")</f>
        <v>January</v>
      </c>
      <c r="J526">
        <f>YEAR(financials[[#This Row],[Schedule Delivery Date]])</f>
        <v>2026</v>
      </c>
      <c r="K526" s="7">
        <v>9</v>
      </c>
      <c r="L526" s="9">
        <v>46027</v>
      </c>
      <c r="M526" s="9">
        <v>46024</v>
      </c>
    </row>
    <row r="527" spans="1:13" x14ac:dyDescent="0.25">
      <c r="A527" t="s">
        <v>8</v>
      </c>
      <c r="B527">
        <v>1</v>
      </c>
      <c r="C527" t="s">
        <v>11</v>
      </c>
      <c r="D527" s="3" t="s">
        <v>32</v>
      </c>
      <c r="E527" s="1">
        <v>0</v>
      </c>
      <c r="F527">
        <v>345</v>
      </c>
      <c r="G527" s="1">
        <v>5</v>
      </c>
      <c r="H527" s="1">
        <v>125</v>
      </c>
      <c r="I527" s="3" t="str">
        <f>TEXT(financials[[#This Row],[Schedule Delivery Date]],"mmmm")</f>
        <v>January</v>
      </c>
      <c r="J527">
        <f>YEAR(financials[[#This Row],[Schedule Delivery Date]])</f>
        <v>2026</v>
      </c>
      <c r="K527" s="7">
        <v>10</v>
      </c>
      <c r="L527" s="9">
        <v>46027</v>
      </c>
      <c r="M527" s="9">
        <v>46025</v>
      </c>
    </row>
    <row r="528" spans="1:13" x14ac:dyDescent="0.25">
      <c r="A528" t="s">
        <v>8</v>
      </c>
      <c r="B528">
        <v>2</v>
      </c>
      <c r="C528" t="s">
        <v>11</v>
      </c>
      <c r="D528" s="3" t="s">
        <v>34</v>
      </c>
      <c r="E528" s="1">
        <v>0</v>
      </c>
      <c r="F528">
        <v>345</v>
      </c>
      <c r="G528" s="1">
        <v>120</v>
      </c>
      <c r="H528" s="1">
        <v>125</v>
      </c>
      <c r="I528" s="3" t="str">
        <f>TEXT(financials[[#This Row],[Schedule Delivery Date]],"mmmm")</f>
        <v>January</v>
      </c>
      <c r="J528">
        <f>YEAR(financials[[#This Row],[Schedule Delivery Date]])</f>
        <v>2026</v>
      </c>
      <c r="K528" s="7">
        <v>10</v>
      </c>
      <c r="L528" s="9">
        <v>46050</v>
      </c>
      <c r="M528" s="9">
        <v>46044</v>
      </c>
    </row>
    <row r="529" spans="1:13" x14ac:dyDescent="0.25">
      <c r="A529" t="s">
        <v>10</v>
      </c>
      <c r="B529">
        <v>3</v>
      </c>
      <c r="C529" t="s">
        <v>13</v>
      </c>
      <c r="D529" s="3" t="s">
        <v>31</v>
      </c>
      <c r="E529" s="1">
        <v>91.92</v>
      </c>
      <c r="F529">
        <v>766</v>
      </c>
      <c r="G529" s="1">
        <v>3</v>
      </c>
      <c r="H529" s="1">
        <v>12</v>
      </c>
      <c r="I529" s="3" t="str">
        <f>TEXT(financials[[#This Row],[Schedule Delivery Date]],"mmmm")</f>
        <v>January</v>
      </c>
      <c r="J529">
        <f>YEAR(financials[[#This Row],[Schedule Delivery Date]])</f>
        <v>2026</v>
      </c>
      <c r="K529" s="7">
        <v>10</v>
      </c>
      <c r="L529" s="9">
        <v>46027</v>
      </c>
      <c r="M529" s="9">
        <v>46024</v>
      </c>
    </row>
    <row r="530" spans="1:13" x14ac:dyDescent="0.25">
      <c r="A530" t="s">
        <v>10</v>
      </c>
      <c r="B530">
        <v>4</v>
      </c>
      <c r="C530" t="s">
        <v>13</v>
      </c>
      <c r="D530" s="3" t="s">
        <v>33</v>
      </c>
      <c r="E530" s="1">
        <v>91.92</v>
      </c>
      <c r="F530">
        <v>766</v>
      </c>
      <c r="G530" s="1">
        <v>10</v>
      </c>
      <c r="H530" s="1">
        <v>12</v>
      </c>
      <c r="I530" s="3" t="str">
        <f>TEXT(financials[[#This Row],[Schedule Delivery Date]],"mmmm")</f>
        <v>January</v>
      </c>
      <c r="J530">
        <f>YEAR(financials[[#This Row],[Schedule Delivery Date]])</f>
        <v>2026</v>
      </c>
      <c r="K530" s="7">
        <v>10</v>
      </c>
      <c r="L530" s="9">
        <v>46027</v>
      </c>
      <c r="M530" s="9">
        <v>46025</v>
      </c>
    </row>
    <row r="531" spans="1:13" x14ac:dyDescent="0.25">
      <c r="A531" t="s">
        <v>10</v>
      </c>
      <c r="B531">
        <v>5</v>
      </c>
      <c r="C531" t="s">
        <v>14</v>
      </c>
      <c r="D531" s="3" t="s">
        <v>31</v>
      </c>
      <c r="E531" s="1">
        <v>396.36</v>
      </c>
      <c r="F531">
        <v>367</v>
      </c>
      <c r="G531" s="1">
        <v>3</v>
      </c>
      <c r="H531" s="1">
        <v>12</v>
      </c>
      <c r="I531" s="3" t="str">
        <f>TEXT(financials[[#This Row],[Schedule Delivery Date]],"mmmm")</f>
        <v>January</v>
      </c>
      <c r="J531">
        <f>YEAR(financials[[#This Row],[Schedule Delivery Date]])</f>
        <v>2026</v>
      </c>
      <c r="K531" s="7">
        <v>10</v>
      </c>
      <c r="L531" s="9">
        <v>46027</v>
      </c>
      <c r="M531" s="9">
        <v>46024</v>
      </c>
    </row>
    <row r="532" spans="1:13" x14ac:dyDescent="0.25">
      <c r="A532" t="s">
        <v>10</v>
      </c>
      <c r="B532">
        <v>6</v>
      </c>
      <c r="C532" t="s">
        <v>14</v>
      </c>
      <c r="D532" s="3" t="s">
        <v>33</v>
      </c>
      <c r="E532" s="1">
        <v>396.36</v>
      </c>
      <c r="F532">
        <v>367</v>
      </c>
      <c r="G532" s="1">
        <v>10</v>
      </c>
      <c r="H532" s="1">
        <v>12</v>
      </c>
      <c r="I532" s="3" t="str">
        <f>TEXT(financials[[#This Row],[Schedule Delivery Date]],"mmmm")</f>
        <v>January</v>
      </c>
      <c r="J532">
        <f>YEAR(financials[[#This Row],[Schedule Delivery Date]])</f>
        <v>2026</v>
      </c>
      <c r="K532" s="7">
        <v>10</v>
      </c>
      <c r="L532" s="9">
        <v>46027</v>
      </c>
      <c r="M532" s="9">
        <v>46025</v>
      </c>
    </row>
    <row r="533" spans="1:13" x14ac:dyDescent="0.25">
      <c r="A533" t="s">
        <v>7</v>
      </c>
      <c r="B533">
        <v>7</v>
      </c>
      <c r="C533" t="s">
        <v>55</v>
      </c>
      <c r="D533" s="3" t="s">
        <v>33</v>
      </c>
      <c r="E533" s="1">
        <v>402.6</v>
      </c>
      <c r="F533">
        <v>671</v>
      </c>
      <c r="G533" s="1">
        <v>10</v>
      </c>
      <c r="H533" s="1">
        <v>15</v>
      </c>
      <c r="I533" s="3" t="str">
        <f>TEXT(financials[[#This Row],[Schedule Delivery Date]],"mmmm")</f>
        <v>January</v>
      </c>
      <c r="J533">
        <f>YEAR(financials[[#This Row],[Schedule Delivery Date]])</f>
        <v>2026</v>
      </c>
      <c r="K533" s="7">
        <v>10</v>
      </c>
      <c r="L533" s="9">
        <v>46027</v>
      </c>
      <c r="M533" s="9">
        <v>46025</v>
      </c>
    </row>
    <row r="534" spans="1:13" x14ac:dyDescent="0.25">
      <c r="A534" t="s">
        <v>7</v>
      </c>
      <c r="B534">
        <v>8</v>
      </c>
      <c r="C534" t="s">
        <v>55</v>
      </c>
      <c r="D534" s="3" t="s">
        <v>36</v>
      </c>
      <c r="E534" s="1">
        <v>402.6</v>
      </c>
      <c r="F534">
        <v>671</v>
      </c>
      <c r="G534" s="1">
        <v>260</v>
      </c>
      <c r="H534" s="1">
        <v>15</v>
      </c>
      <c r="I534" s="3" t="str">
        <f>TEXT(financials[[#This Row],[Schedule Delivery Date]],"mmmm")</f>
        <v>January</v>
      </c>
      <c r="J534">
        <f>YEAR(financials[[#This Row],[Schedule Delivery Date]])</f>
        <v>2026</v>
      </c>
      <c r="K534" s="7">
        <v>10</v>
      </c>
      <c r="L534" s="9">
        <v>46027</v>
      </c>
      <c r="M534" s="9">
        <v>46024</v>
      </c>
    </row>
    <row r="535" spans="1:13" x14ac:dyDescent="0.25">
      <c r="A535" t="s">
        <v>9</v>
      </c>
      <c r="B535">
        <v>9</v>
      </c>
      <c r="C535" t="s">
        <v>13</v>
      </c>
      <c r="D535" s="3" t="s">
        <v>32</v>
      </c>
      <c r="E535" s="1">
        <v>405.65</v>
      </c>
      <c r="F535">
        <v>1159</v>
      </c>
      <c r="G535" s="1">
        <v>5</v>
      </c>
      <c r="H535" s="1">
        <v>7</v>
      </c>
      <c r="I535" s="3" t="str">
        <f>TEXT(financials[[#This Row],[Schedule Delivery Date]],"mmmm")</f>
        <v>January</v>
      </c>
      <c r="J535">
        <f>YEAR(financials[[#This Row],[Schedule Delivery Date]])</f>
        <v>2026</v>
      </c>
      <c r="K535" s="7">
        <v>10</v>
      </c>
      <c r="L535" s="9">
        <v>46028</v>
      </c>
      <c r="M535" s="9">
        <v>46025</v>
      </c>
    </row>
    <row r="536" spans="1:13" x14ac:dyDescent="0.25">
      <c r="A536" t="s">
        <v>9</v>
      </c>
      <c r="B536">
        <v>10</v>
      </c>
      <c r="C536" t="s">
        <v>13</v>
      </c>
      <c r="D536" s="3" t="s">
        <v>36</v>
      </c>
      <c r="E536" s="1">
        <v>405.65</v>
      </c>
      <c r="F536">
        <v>1159</v>
      </c>
      <c r="G536" s="1">
        <v>260</v>
      </c>
      <c r="H536" s="1">
        <v>7</v>
      </c>
      <c r="I536" s="3" t="str">
        <f>TEXT(financials[[#This Row],[Schedule Delivery Date]],"mmmm")</f>
        <v>January</v>
      </c>
      <c r="J536">
        <f>YEAR(financials[[#This Row],[Schedule Delivery Date]])</f>
        <v>2026</v>
      </c>
      <c r="K536" s="7">
        <v>10</v>
      </c>
      <c r="L536" s="9">
        <v>46027</v>
      </c>
      <c r="M536" s="9">
        <v>46024</v>
      </c>
    </row>
    <row r="537" spans="1:13" x14ac:dyDescent="0.25">
      <c r="A537" t="s">
        <v>10</v>
      </c>
      <c r="B537">
        <v>11</v>
      </c>
      <c r="C537" t="s">
        <v>55</v>
      </c>
      <c r="D537" s="3" t="s">
        <v>31</v>
      </c>
      <c r="E537" s="1">
        <v>463.2</v>
      </c>
      <c r="F537">
        <v>386</v>
      </c>
      <c r="G537" s="1">
        <v>3</v>
      </c>
      <c r="H537" s="1">
        <v>12</v>
      </c>
      <c r="I537" s="3" t="str">
        <f>TEXT(financials[[#This Row],[Schedule Delivery Date]],"mmmm")</f>
        <v>January</v>
      </c>
      <c r="J537">
        <f>YEAR(financials[[#This Row],[Schedule Delivery Date]])</f>
        <v>2026</v>
      </c>
      <c r="K537" s="7">
        <v>10</v>
      </c>
      <c r="L537" s="9">
        <v>46028</v>
      </c>
      <c r="M537" s="9">
        <v>46025</v>
      </c>
    </row>
    <row r="538" spans="1:13" x14ac:dyDescent="0.25">
      <c r="A538" t="s">
        <v>10</v>
      </c>
      <c r="B538">
        <v>12</v>
      </c>
      <c r="C538" t="s">
        <v>55</v>
      </c>
      <c r="D538" s="3" t="s">
        <v>33</v>
      </c>
      <c r="E538" s="1">
        <v>463.2</v>
      </c>
      <c r="F538">
        <v>386</v>
      </c>
      <c r="G538" s="1">
        <v>10</v>
      </c>
      <c r="H538" s="1">
        <v>12</v>
      </c>
      <c r="I538" s="3" t="str">
        <f>TEXT(financials[[#This Row],[Schedule Delivery Date]],"mmmm")</f>
        <v>January</v>
      </c>
      <c r="J538">
        <f>YEAR(financials[[#This Row],[Schedule Delivery Date]])</f>
        <v>2026</v>
      </c>
      <c r="K538" s="7">
        <v>10</v>
      </c>
      <c r="L538" s="9">
        <v>46027</v>
      </c>
      <c r="M538" s="9">
        <v>46024</v>
      </c>
    </row>
    <row r="539" spans="1:13" x14ac:dyDescent="0.25">
      <c r="A539" t="s">
        <v>9</v>
      </c>
      <c r="B539">
        <v>13</v>
      </c>
      <c r="C539" t="s">
        <v>12</v>
      </c>
      <c r="D539" s="3" t="s">
        <v>32</v>
      </c>
      <c r="E539" s="1">
        <v>589.26</v>
      </c>
      <c r="F539">
        <v>1403</v>
      </c>
      <c r="G539" s="1">
        <v>5</v>
      </c>
      <c r="H539" s="1">
        <v>7</v>
      </c>
      <c r="I539" s="3" t="str">
        <f>TEXT(financials[[#This Row],[Schedule Delivery Date]],"mmmm")</f>
        <v>January</v>
      </c>
      <c r="J539">
        <f>YEAR(financials[[#This Row],[Schedule Delivery Date]])</f>
        <v>2026</v>
      </c>
      <c r="K539" s="7">
        <v>10</v>
      </c>
      <c r="L539" s="9">
        <v>46028</v>
      </c>
      <c r="M539" s="9">
        <v>46027</v>
      </c>
    </row>
    <row r="540" spans="1:13" x14ac:dyDescent="0.25">
      <c r="A540" t="s">
        <v>9</v>
      </c>
      <c r="B540">
        <v>14</v>
      </c>
      <c r="C540" t="s">
        <v>12</v>
      </c>
      <c r="D540" s="3" t="s">
        <v>36</v>
      </c>
      <c r="E540" s="1">
        <v>589.26</v>
      </c>
      <c r="F540">
        <v>1403</v>
      </c>
      <c r="G540" s="1">
        <v>260</v>
      </c>
      <c r="H540" s="1">
        <v>7</v>
      </c>
      <c r="I540" s="3" t="str">
        <f>TEXT(financials[[#This Row],[Schedule Delivery Date]],"mmmm")</f>
        <v>January</v>
      </c>
      <c r="J540">
        <f>YEAR(financials[[#This Row],[Schedule Delivery Date]])</f>
        <v>2026</v>
      </c>
      <c r="K540" s="7">
        <v>10</v>
      </c>
      <c r="L540" s="9">
        <v>46027</v>
      </c>
      <c r="M540" s="9">
        <v>46026</v>
      </c>
    </row>
    <row r="541" spans="1:13" x14ac:dyDescent="0.25">
      <c r="A541" t="s">
        <v>9</v>
      </c>
      <c r="B541">
        <v>15</v>
      </c>
      <c r="C541" t="s">
        <v>11</v>
      </c>
      <c r="D541" s="3" t="s">
        <v>31</v>
      </c>
      <c r="E541" s="1">
        <v>798.28</v>
      </c>
      <c r="F541">
        <v>2851</v>
      </c>
      <c r="G541" s="1">
        <v>3</v>
      </c>
      <c r="H541" s="1">
        <v>7</v>
      </c>
      <c r="I541" s="3" t="str">
        <f>TEXT(financials[[#This Row],[Schedule Delivery Date]],"mmmm")</f>
        <v>January</v>
      </c>
      <c r="J541">
        <f>YEAR(financials[[#This Row],[Schedule Delivery Date]])</f>
        <v>2026</v>
      </c>
      <c r="K541" s="7">
        <v>10</v>
      </c>
      <c r="L541" s="9">
        <v>46027</v>
      </c>
      <c r="M541" s="9">
        <v>46024</v>
      </c>
    </row>
    <row r="542" spans="1:13" x14ac:dyDescent="0.25">
      <c r="A542" t="s">
        <v>9</v>
      </c>
      <c r="B542">
        <v>16</v>
      </c>
      <c r="C542" t="s">
        <v>11</v>
      </c>
      <c r="D542" s="3" t="s">
        <v>32</v>
      </c>
      <c r="E542" s="1">
        <v>798.28</v>
      </c>
      <c r="F542">
        <v>2851</v>
      </c>
      <c r="G542" s="1">
        <v>5</v>
      </c>
      <c r="H542" s="1">
        <v>7</v>
      </c>
      <c r="I542" s="3" t="str">
        <f>TEXT(financials[[#This Row],[Schedule Delivery Date]],"mmmm")</f>
        <v>January</v>
      </c>
      <c r="J542">
        <f>YEAR(financials[[#This Row],[Schedule Delivery Date]])</f>
        <v>2026</v>
      </c>
      <c r="K542" s="7">
        <v>10</v>
      </c>
      <c r="L542" s="9">
        <v>46027</v>
      </c>
      <c r="M542" s="9">
        <v>46025</v>
      </c>
    </row>
    <row r="543" spans="1:13" x14ac:dyDescent="0.25">
      <c r="A543" t="s">
        <v>9</v>
      </c>
      <c r="B543">
        <v>17</v>
      </c>
      <c r="C543" t="s">
        <v>55</v>
      </c>
      <c r="D543" s="3" t="s">
        <v>33</v>
      </c>
      <c r="E543" s="1">
        <v>801</v>
      </c>
      <c r="F543">
        <v>267</v>
      </c>
      <c r="G543" s="1">
        <v>10</v>
      </c>
      <c r="H543" s="1">
        <v>20</v>
      </c>
      <c r="I543" s="3" t="str">
        <f>TEXT(financials[[#This Row],[Schedule Delivery Date]],"mmmm")</f>
        <v>January</v>
      </c>
      <c r="J543">
        <f>YEAR(financials[[#This Row],[Schedule Delivery Date]])</f>
        <v>2026</v>
      </c>
      <c r="K543" s="7">
        <v>10</v>
      </c>
      <c r="L543" s="9">
        <v>46027</v>
      </c>
      <c r="M543" s="9">
        <v>46024</v>
      </c>
    </row>
    <row r="544" spans="1:13" x14ac:dyDescent="0.25">
      <c r="A544" t="s">
        <v>9</v>
      </c>
      <c r="B544">
        <v>18</v>
      </c>
      <c r="C544" t="s">
        <v>55</v>
      </c>
      <c r="D544" s="3" t="s">
        <v>35</v>
      </c>
      <c r="E544" s="1">
        <v>801</v>
      </c>
      <c r="F544">
        <v>267</v>
      </c>
      <c r="G544" s="1">
        <v>250</v>
      </c>
      <c r="H544" s="1">
        <v>20</v>
      </c>
      <c r="I544" s="3" t="str">
        <f>TEXT(financials[[#This Row],[Schedule Delivery Date]],"mmmm")</f>
        <v>January</v>
      </c>
      <c r="J544">
        <f>YEAR(financials[[#This Row],[Schedule Delivery Date]])</f>
        <v>2026</v>
      </c>
      <c r="K544" s="7">
        <v>10</v>
      </c>
      <c r="L544" s="9">
        <v>46027</v>
      </c>
      <c r="M544" s="9">
        <v>46024</v>
      </c>
    </row>
    <row r="545" spans="1:13" x14ac:dyDescent="0.25">
      <c r="A545" t="s">
        <v>8</v>
      </c>
      <c r="B545">
        <v>19</v>
      </c>
      <c r="C545" t="s">
        <v>55</v>
      </c>
      <c r="D545" s="3" t="s">
        <v>32</v>
      </c>
      <c r="E545" s="1">
        <v>828.75</v>
      </c>
      <c r="F545">
        <v>663</v>
      </c>
      <c r="G545" s="1">
        <v>5</v>
      </c>
      <c r="H545" s="1">
        <v>125</v>
      </c>
      <c r="I545" s="3" t="str">
        <f>TEXT(financials[[#This Row],[Schedule Delivery Date]],"mmmm")</f>
        <v>January</v>
      </c>
      <c r="J545">
        <f>YEAR(financials[[#This Row],[Schedule Delivery Date]])</f>
        <v>2026</v>
      </c>
      <c r="K545" s="7">
        <v>10</v>
      </c>
      <c r="L545" s="9">
        <v>46028</v>
      </c>
      <c r="M545" s="9">
        <v>46027</v>
      </c>
    </row>
    <row r="546" spans="1:13" x14ac:dyDescent="0.25">
      <c r="A546" t="s">
        <v>8</v>
      </c>
      <c r="B546">
        <v>20</v>
      </c>
      <c r="C546" t="s">
        <v>55</v>
      </c>
      <c r="D546" s="3" t="s">
        <v>34</v>
      </c>
      <c r="E546" s="1">
        <v>828.75</v>
      </c>
      <c r="F546">
        <v>663</v>
      </c>
      <c r="G546" s="1">
        <v>120</v>
      </c>
      <c r="H546" s="1">
        <v>125</v>
      </c>
      <c r="I546" s="3" t="str">
        <f>TEXT(financials[[#This Row],[Schedule Delivery Date]],"mmmm")</f>
        <v>January</v>
      </c>
      <c r="J546">
        <f>YEAR(financials[[#This Row],[Schedule Delivery Date]])</f>
        <v>2026</v>
      </c>
      <c r="K546" s="7">
        <v>10</v>
      </c>
      <c r="L546" s="9">
        <v>46027</v>
      </c>
      <c r="M546" s="9">
        <v>46025</v>
      </c>
    </row>
    <row r="547" spans="1:13" x14ac:dyDescent="0.25">
      <c r="A547" t="s">
        <v>7</v>
      </c>
      <c r="B547">
        <v>21</v>
      </c>
      <c r="C547" t="s">
        <v>13</v>
      </c>
      <c r="D547" s="3" t="s">
        <v>33</v>
      </c>
      <c r="E547" s="1">
        <v>875.25</v>
      </c>
      <c r="F547">
        <v>1945</v>
      </c>
      <c r="G547" s="1">
        <v>10</v>
      </c>
      <c r="H547" s="1">
        <v>15</v>
      </c>
      <c r="I547" s="3" t="str">
        <f>TEXT(financials[[#This Row],[Schedule Delivery Date]],"mmmm")</f>
        <v>January</v>
      </c>
      <c r="J547">
        <f>YEAR(financials[[#This Row],[Schedule Delivery Date]])</f>
        <v>2026</v>
      </c>
      <c r="K547" s="7">
        <v>10</v>
      </c>
      <c r="L547" s="9">
        <v>46027</v>
      </c>
      <c r="M547" s="9">
        <v>46024</v>
      </c>
    </row>
    <row r="548" spans="1:13" x14ac:dyDescent="0.25">
      <c r="A548" t="s">
        <v>7</v>
      </c>
      <c r="B548">
        <v>22</v>
      </c>
      <c r="C548" t="s">
        <v>13</v>
      </c>
      <c r="D548" s="3" t="s">
        <v>35</v>
      </c>
      <c r="E548" s="1">
        <v>875.25</v>
      </c>
      <c r="F548">
        <v>1945</v>
      </c>
      <c r="G548" s="1">
        <v>250</v>
      </c>
      <c r="H548" s="1">
        <v>15</v>
      </c>
      <c r="I548" s="3" t="str">
        <f>TEXT(financials[[#This Row],[Schedule Delivery Date]],"mmmm")</f>
        <v>January</v>
      </c>
      <c r="J548">
        <f>YEAR(financials[[#This Row],[Schedule Delivery Date]])</f>
        <v>2026</v>
      </c>
      <c r="K548" s="7">
        <v>10</v>
      </c>
      <c r="L548" s="9">
        <v>46027</v>
      </c>
      <c r="M548" s="9">
        <v>46024</v>
      </c>
    </row>
    <row r="549" spans="1:13" x14ac:dyDescent="0.25">
      <c r="A549" t="s">
        <v>7</v>
      </c>
      <c r="B549">
        <v>23</v>
      </c>
      <c r="C549" t="s">
        <v>14</v>
      </c>
      <c r="D549" s="3" t="s">
        <v>33</v>
      </c>
      <c r="E549" s="1">
        <v>908.4</v>
      </c>
      <c r="F549">
        <v>1514</v>
      </c>
      <c r="G549" s="1">
        <v>10</v>
      </c>
      <c r="H549" s="1">
        <v>15</v>
      </c>
      <c r="I549" s="3" t="str">
        <f>TEXT(financials[[#This Row],[Schedule Delivery Date]],"mmmm")</f>
        <v>January</v>
      </c>
      <c r="J549">
        <f>YEAR(financials[[#This Row],[Schedule Delivery Date]])</f>
        <v>2026</v>
      </c>
      <c r="K549" s="7">
        <v>10</v>
      </c>
      <c r="L549" s="9">
        <v>46028</v>
      </c>
      <c r="M549" s="9">
        <v>46025</v>
      </c>
    </row>
    <row r="550" spans="1:13" x14ac:dyDescent="0.25">
      <c r="A550" t="s">
        <v>7</v>
      </c>
      <c r="B550">
        <v>24</v>
      </c>
      <c r="C550" t="s">
        <v>14</v>
      </c>
      <c r="D550" s="3" t="s">
        <v>35</v>
      </c>
      <c r="E550" s="1">
        <v>908.4</v>
      </c>
      <c r="F550">
        <v>1514</v>
      </c>
      <c r="G550" s="1">
        <v>250</v>
      </c>
      <c r="H550" s="1">
        <v>15</v>
      </c>
      <c r="I550" s="3" t="str">
        <f>TEXT(financials[[#This Row],[Schedule Delivery Date]],"mmmm")</f>
        <v>January</v>
      </c>
      <c r="J550">
        <f>YEAR(financials[[#This Row],[Schedule Delivery Date]])</f>
        <v>2026</v>
      </c>
      <c r="K550" s="7">
        <v>10</v>
      </c>
      <c r="L550" s="9">
        <v>46027</v>
      </c>
      <c r="M550" s="9">
        <v>46025</v>
      </c>
    </row>
    <row r="551" spans="1:13" x14ac:dyDescent="0.25">
      <c r="A551" t="s">
        <v>6</v>
      </c>
      <c r="B551">
        <v>25</v>
      </c>
      <c r="C551" t="s">
        <v>13</v>
      </c>
      <c r="D551" s="3" t="s">
        <v>31</v>
      </c>
      <c r="E551" s="1">
        <v>1284</v>
      </c>
      <c r="F551">
        <v>214</v>
      </c>
      <c r="G551" s="1">
        <v>3</v>
      </c>
      <c r="H551" s="1">
        <v>300</v>
      </c>
      <c r="I551" s="3" t="str">
        <f>TEXT(financials[[#This Row],[Schedule Delivery Date]],"mmmm")</f>
        <v>January</v>
      </c>
      <c r="J551">
        <f>YEAR(financials[[#This Row],[Schedule Delivery Date]])</f>
        <v>2026</v>
      </c>
      <c r="K551" s="7">
        <v>10</v>
      </c>
      <c r="L551" s="9">
        <v>46027</v>
      </c>
      <c r="M551" s="9">
        <v>46025</v>
      </c>
    </row>
    <row r="552" spans="1:13" x14ac:dyDescent="0.25">
      <c r="A552" t="s">
        <v>6</v>
      </c>
      <c r="B552">
        <v>26</v>
      </c>
      <c r="C552" t="s">
        <v>13</v>
      </c>
      <c r="D552" s="3" t="s">
        <v>35</v>
      </c>
      <c r="E552" s="1">
        <v>1284</v>
      </c>
      <c r="F552">
        <v>214</v>
      </c>
      <c r="G552" s="1">
        <v>250</v>
      </c>
      <c r="H552" s="1">
        <v>300</v>
      </c>
      <c r="I552" s="3" t="str">
        <f>TEXT(financials[[#This Row],[Schedule Delivery Date]],"mmmm")</f>
        <v>January</v>
      </c>
      <c r="J552">
        <f>YEAR(financials[[#This Row],[Schedule Delivery Date]])</f>
        <v>2026</v>
      </c>
      <c r="K552" s="7">
        <v>10</v>
      </c>
      <c r="L552" s="9">
        <v>46027</v>
      </c>
      <c r="M552" s="9">
        <v>46024</v>
      </c>
    </row>
    <row r="553" spans="1:13" x14ac:dyDescent="0.25">
      <c r="A553" t="s">
        <v>9</v>
      </c>
      <c r="B553">
        <v>27</v>
      </c>
      <c r="C553" t="s">
        <v>11</v>
      </c>
      <c r="D553" s="3" t="s">
        <v>33</v>
      </c>
      <c r="E553" s="1">
        <v>1389</v>
      </c>
      <c r="F553">
        <v>1389</v>
      </c>
      <c r="G553" s="1">
        <v>10</v>
      </c>
      <c r="H553" s="1">
        <v>20</v>
      </c>
      <c r="I553" s="3" t="str">
        <f>TEXT(financials[[#This Row],[Schedule Delivery Date]],"mmmm")</f>
        <v>January</v>
      </c>
      <c r="J553">
        <f>YEAR(financials[[#This Row],[Schedule Delivery Date]])</f>
        <v>2026</v>
      </c>
      <c r="K553" s="7">
        <v>10</v>
      </c>
      <c r="L553" s="9">
        <v>46027</v>
      </c>
      <c r="M553" s="9">
        <v>46024</v>
      </c>
    </row>
    <row r="554" spans="1:13" x14ac:dyDescent="0.25">
      <c r="A554" t="s">
        <v>9</v>
      </c>
      <c r="B554">
        <v>28</v>
      </c>
      <c r="C554" t="s">
        <v>11</v>
      </c>
      <c r="D554" s="3" t="s">
        <v>35</v>
      </c>
      <c r="E554" s="1">
        <v>1389</v>
      </c>
      <c r="F554">
        <v>1389</v>
      </c>
      <c r="G554" s="1">
        <v>250</v>
      </c>
      <c r="H554" s="1">
        <v>20</v>
      </c>
      <c r="I554" s="3" t="str">
        <f>TEXT(financials[[#This Row],[Schedule Delivery Date]],"mmmm")</f>
        <v>January</v>
      </c>
      <c r="J554">
        <f>YEAR(financials[[#This Row],[Schedule Delivery Date]])</f>
        <v>2026</v>
      </c>
      <c r="K554" s="7">
        <v>10</v>
      </c>
      <c r="L554" s="9">
        <v>46027</v>
      </c>
      <c r="M554" s="9">
        <v>46024</v>
      </c>
    </row>
    <row r="555" spans="1:13" x14ac:dyDescent="0.25">
      <c r="A555" t="s">
        <v>6</v>
      </c>
      <c r="B555">
        <v>29</v>
      </c>
      <c r="C555" t="s">
        <v>14</v>
      </c>
      <c r="D555" s="3" t="s">
        <v>31</v>
      </c>
      <c r="E555" s="1">
        <v>1482</v>
      </c>
      <c r="F555">
        <v>494</v>
      </c>
      <c r="G555" s="1">
        <v>3</v>
      </c>
      <c r="H555" s="1">
        <v>300</v>
      </c>
      <c r="I555" s="3" t="str">
        <f>TEXT(financials[[#This Row],[Schedule Delivery Date]],"mmmm")</f>
        <v>January</v>
      </c>
      <c r="J555">
        <f>YEAR(financials[[#This Row],[Schedule Delivery Date]])</f>
        <v>2026</v>
      </c>
      <c r="K555" s="7">
        <v>10</v>
      </c>
      <c r="L555" s="9">
        <v>46027</v>
      </c>
      <c r="M555" s="9">
        <v>46024</v>
      </c>
    </row>
    <row r="556" spans="1:13" x14ac:dyDescent="0.25">
      <c r="A556" t="s">
        <v>6</v>
      </c>
      <c r="B556">
        <v>30</v>
      </c>
      <c r="C556" t="s">
        <v>14</v>
      </c>
      <c r="D556" s="3" t="s">
        <v>35</v>
      </c>
      <c r="E556" s="1">
        <v>1482</v>
      </c>
      <c r="F556">
        <v>494</v>
      </c>
      <c r="G556" s="1">
        <v>250</v>
      </c>
      <c r="H556" s="1">
        <v>300</v>
      </c>
      <c r="I556" s="3" t="str">
        <f>TEXT(financials[[#This Row],[Schedule Delivery Date]],"mmmm")</f>
        <v>January</v>
      </c>
      <c r="J556">
        <f>YEAR(financials[[#This Row],[Schedule Delivery Date]])</f>
        <v>2026</v>
      </c>
      <c r="K556" s="7">
        <v>10</v>
      </c>
      <c r="L556" s="9">
        <v>46045</v>
      </c>
      <c r="M556" s="9">
        <v>46027</v>
      </c>
    </row>
    <row r="557" spans="1:13" x14ac:dyDescent="0.25">
      <c r="D557" s="3"/>
      <c r="F557"/>
      <c r="I557" s="3"/>
      <c r="J557" s="7">
        <f>YEAR(financials[[#This Row],[Schedule Delivery Date]])</f>
        <v>1900</v>
      </c>
      <c r="K557" s="7"/>
      <c r="L557" s="3"/>
      <c r="M557" s="3"/>
    </row>
    <row r="558" spans="1:13" x14ac:dyDescent="0.25">
      <c r="D558" s="3"/>
      <c r="F558"/>
      <c r="I558" s="3"/>
      <c r="J558" s="7">
        <f>YEAR(financials[[#This Row],[Schedule Delivery Date]])</f>
        <v>1900</v>
      </c>
      <c r="K558" s="7"/>
      <c r="L558" s="3"/>
      <c r="M558" s="3"/>
    </row>
    <row r="559" spans="1:13" x14ac:dyDescent="0.25">
      <c r="D559" s="3"/>
      <c r="F559"/>
      <c r="I559" s="3"/>
      <c r="J559" s="7">
        <f>YEAR(financials[[#This Row],[Schedule Delivery Date]])</f>
        <v>1900</v>
      </c>
      <c r="K559" s="7"/>
      <c r="L559" s="3"/>
      <c r="M559" s="3"/>
    </row>
    <row r="560" spans="1:13" x14ac:dyDescent="0.25">
      <c r="D560" s="3"/>
      <c r="F560"/>
      <c r="I560" s="3"/>
      <c r="J560" s="7">
        <f>YEAR(financials[[#This Row],[Schedule Delivery Date]])</f>
        <v>1900</v>
      </c>
      <c r="K560" s="7"/>
      <c r="L560" s="3"/>
      <c r="M560" s="3"/>
    </row>
    <row r="561" spans="4:13" x14ac:dyDescent="0.25">
      <c r="D561" s="3"/>
      <c r="F561"/>
      <c r="I561" s="3"/>
      <c r="J561" s="7">
        <f>YEAR(financials[[#This Row],[Schedule Delivery Date]])</f>
        <v>1900</v>
      </c>
      <c r="K561" s="7"/>
      <c r="L561" s="3"/>
      <c r="M561" s="3"/>
    </row>
    <row r="562" spans="4:13" x14ac:dyDescent="0.25">
      <c r="D562" s="3"/>
      <c r="F562"/>
      <c r="I562" s="3"/>
      <c r="J562" s="7">
        <f>YEAR(financials[[#This Row],[Schedule Delivery Date]])</f>
        <v>1900</v>
      </c>
      <c r="K562" s="7"/>
      <c r="L562" s="3"/>
      <c r="M562" s="3"/>
    </row>
    <row r="563" spans="4:13" x14ac:dyDescent="0.25">
      <c r="D563" s="3"/>
      <c r="F563"/>
      <c r="I563" s="3"/>
      <c r="J563" s="7">
        <f>YEAR(financials[[#This Row],[Schedule Delivery Date]])</f>
        <v>1900</v>
      </c>
      <c r="K563" s="7"/>
      <c r="L563" s="3"/>
      <c r="M563" s="3"/>
    </row>
    <row r="564" spans="4:13" x14ac:dyDescent="0.25">
      <c r="D564" s="3"/>
      <c r="F564"/>
      <c r="I564" s="3"/>
      <c r="J564" s="7">
        <f>YEAR(financials[[#This Row],[Schedule Delivery Date]])</f>
        <v>1900</v>
      </c>
      <c r="K564" s="7"/>
      <c r="L564" s="3"/>
      <c r="M564" s="3"/>
    </row>
    <row r="565" spans="4:13" x14ac:dyDescent="0.25">
      <c r="D565" s="3"/>
      <c r="F565"/>
      <c r="I565" s="3"/>
      <c r="J565" s="7">
        <f>YEAR(financials[[#This Row],[Schedule Delivery Date]])</f>
        <v>1900</v>
      </c>
      <c r="K565" s="7"/>
      <c r="L565" s="3"/>
      <c r="M565" s="3"/>
    </row>
    <row r="566" spans="4:13" x14ac:dyDescent="0.25">
      <c r="D566" s="3"/>
      <c r="F566"/>
      <c r="I566" s="3"/>
      <c r="J566" s="7">
        <f>YEAR(financials[[#This Row],[Schedule Delivery Date]])</f>
        <v>1900</v>
      </c>
      <c r="K566" s="7"/>
      <c r="L566" s="3"/>
      <c r="M566" s="3"/>
    </row>
    <row r="567" spans="4:13" x14ac:dyDescent="0.25">
      <c r="D567" s="3"/>
      <c r="F567"/>
      <c r="I567" s="3"/>
      <c r="J567" s="7">
        <f>YEAR(financials[[#This Row],[Schedule Delivery Date]])</f>
        <v>1900</v>
      </c>
      <c r="K567" s="7"/>
      <c r="L567" s="3"/>
      <c r="M567" s="3"/>
    </row>
    <row r="568" spans="4:13" x14ac:dyDescent="0.25">
      <c r="D568" s="3"/>
      <c r="F568"/>
      <c r="I568" s="3"/>
      <c r="J568" s="7">
        <f>YEAR(financials[[#This Row],[Schedule Delivery Date]])</f>
        <v>1900</v>
      </c>
      <c r="K568" s="7"/>
      <c r="L568" s="3"/>
      <c r="M568" s="3"/>
    </row>
    <row r="569" spans="4:13" x14ac:dyDescent="0.25">
      <c r="D569" s="3"/>
      <c r="F569"/>
      <c r="I569" s="3"/>
      <c r="J569" s="7">
        <f>YEAR(financials[[#This Row],[Schedule Delivery Date]])</f>
        <v>1900</v>
      </c>
      <c r="K569" s="7"/>
      <c r="L569" s="3"/>
      <c r="M569" s="3"/>
    </row>
    <row r="570" spans="4:13" x14ac:dyDescent="0.25">
      <c r="D570" s="3"/>
      <c r="F570"/>
      <c r="I570" s="3"/>
      <c r="J570" s="7">
        <f>YEAR(financials[[#This Row],[Schedule Delivery Date]])</f>
        <v>1900</v>
      </c>
      <c r="K570" s="7"/>
      <c r="L570" s="3"/>
      <c r="M570" s="3"/>
    </row>
    <row r="571" spans="4:13" x14ac:dyDescent="0.25">
      <c r="D571" s="3"/>
      <c r="F571"/>
      <c r="I571" s="3"/>
      <c r="J571" s="7">
        <f>YEAR(financials[[#This Row],[Schedule Delivery Date]])</f>
        <v>1900</v>
      </c>
      <c r="K571" s="7"/>
      <c r="L571" s="3"/>
      <c r="M571" s="3"/>
    </row>
    <row r="572" spans="4:13" x14ac:dyDescent="0.25">
      <c r="D572" s="3"/>
      <c r="F572"/>
      <c r="I572" s="3"/>
      <c r="J572" s="7">
        <f>YEAR(financials[[#This Row],[Schedule Delivery Date]])</f>
        <v>1900</v>
      </c>
      <c r="K572" s="7"/>
      <c r="L572" s="3"/>
      <c r="M572" s="3"/>
    </row>
    <row r="573" spans="4:13" x14ac:dyDescent="0.25">
      <c r="D573" s="3"/>
      <c r="F573"/>
      <c r="I573" s="3"/>
      <c r="J573" s="7">
        <f>YEAR(financials[[#This Row],[Schedule Delivery Date]])</f>
        <v>1900</v>
      </c>
      <c r="K573" s="7"/>
      <c r="L573" s="3"/>
      <c r="M573" s="3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06FB-F2C4-4E2E-BF95-95C7A55D581F}">
  <dimension ref="B3:H29"/>
  <sheetViews>
    <sheetView workbookViewId="0">
      <selection activeCell="H6" sqref="H6"/>
    </sheetView>
  </sheetViews>
  <sheetFormatPr defaultRowHeight="15" x14ac:dyDescent="0.25"/>
  <cols>
    <col min="3" max="3" width="10" bestFit="1" customWidth="1"/>
    <col min="7" max="7" width="16.7109375" bestFit="1" customWidth="1"/>
    <col min="8" max="8" width="37.140625" customWidth="1"/>
  </cols>
  <sheetData>
    <row r="3" spans="2:8" x14ac:dyDescent="0.25">
      <c r="B3" t="s">
        <v>18</v>
      </c>
      <c r="C3" t="s">
        <v>25</v>
      </c>
      <c r="G3" t="s">
        <v>51</v>
      </c>
    </row>
    <row r="4" spans="2:8" x14ac:dyDescent="0.25">
      <c r="B4" t="s">
        <v>19</v>
      </c>
      <c r="C4" t="s">
        <v>26</v>
      </c>
    </row>
    <row r="5" spans="2:8" x14ac:dyDescent="0.25">
      <c r="B5" t="s">
        <v>20</v>
      </c>
      <c r="C5" t="s">
        <v>27</v>
      </c>
      <c r="G5" t="s">
        <v>52</v>
      </c>
    </row>
    <row r="6" spans="2:8" x14ac:dyDescent="0.25">
      <c r="B6" t="s">
        <v>21</v>
      </c>
      <c r="C6" t="s">
        <v>28</v>
      </c>
    </row>
    <row r="7" spans="2:8" x14ac:dyDescent="0.25">
      <c r="B7" t="s">
        <v>22</v>
      </c>
      <c r="C7" t="s">
        <v>29</v>
      </c>
      <c r="G7" t="s">
        <v>54</v>
      </c>
    </row>
    <row r="8" spans="2:8" x14ac:dyDescent="0.25">
      <c r="B8" t="s">
        <v>23</v>
      </c>
      <c r="C8" t="s">
        <v>30</v>
      </c>
    </row>
    <row r="9" spans="2:8" x14ac:dyDescent="0.25">
      <c r="G9" t="s">
        <v>53</v>
      </c>
    </row>
    <row r="11" spans="2:8" x14ac:dyDescent="0.25">
      <c r="G11" t="s">
        <v>56</v>
      </c>
      <c r="H11" t="s">
        <v>57</v>
      </c>
    </row>
    <row r="13" spans="2:8" x14ac:dyDescent="0.25">
      <c r="G13" t="s">
        <v>37</v>
      </c>
      <c r="H13" t="s">
        <v>39</v>
      </c>
    </row>
    <row r="17" spans="7:8" x14ac:dyDescent="0.25">
      <c r="G17" t="s">
        <v>38</v>
      </c>
      <c r="H17" t="s">
        <v>40</v>
      </c>
    </row>
    <row r="19" spans="7:8" x14ac:dyDescent="0.25">
      <c r="G19" t="s">
        <v>2</v>
      </c>
      <c r="H19" t="s">
        <v>41</v>
      </c>
    </row>
    <row r="21" spans="7:8" x14ac:dyDescent="0.25">
      <c r="G21" t="s">
        <v>43</v>
      </c>
      <c r="H21" t="s">
        <v>42</v>
      </c>
    </row>
    <row r="23" spans="7:8" x14ac:dyDescent="0.25">
      <c r="G23" t="s">
        <v>60</v>
      </c>
      <c r="H23" s="5" t="s">
        <v>44</v>
      </c>
    </row>
    <row r="24" spans="7:8" x14ac:dyDescent="0.25">
      <c r="H24" s="5" t="s">
        <v>45</v>
      </c>
    </row>
    <row r="25" spans="7:8" x14ac:dyDescent="0.25">
      <c r="H25" s="5" t="s">
        <v>46</v>
      </c>
    </row>
    <row r="26" spans="7:8" x14ac:dyDescent="0.25">
      <c r="H26" s="5" t="s">
        <v>47</v>
      </c>
    </row>
    <row r="27" spans="7:8" x14ac:dyDescent="0.25">
      <c r="H27" s="5" t="s">
        <v>48</v>
      </c>
    </row>
    <row r="29" spans="7:8" x14ac:dyDescent="0.25">
      <c r="G29" t="s">
        <v>58</v>
      </c>
      <c r="H29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Gonzalez, Jose Eduardo</cp:lastModifiedBy>
  <dcterms:created xsi:type="dcterms:W3CDTF">2014-01-28T02:45:41Z</dcterms:created>
  <dcterms:modified xsi:type="dcterms:W3CDTF">2026-03-14T03:08:05Z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MSIP_Label_4b9664e8-5bac-43dd-9fd7-fd5d06fe239a_Enabled">
    <vt:lpwstr>true</vt:lpwstr>
  </property>
  <property fmtid="{D5CDD505-2E9C-101B-9397-08002B2CF9AE}" pid="5" name="MSIP_Label_4b9664e8-5bac-43dd-9fd7-fd5d06fe239a_SetDate">
    <vt:lpwstr>2026-01-24T03:13:08Z</vt:lpwstr>
  </property>
  <property fmtid="{D5CDD505-2E9C-101B-9397-08002B2CF9AE}" pid="6" name="MSIP_Label_4b9664e8-5bac-43dd-9fd7-fd5d06fe239a_Method">
    <vt:lpwstr>Privileged</vt:lpwstr>
  </property>
  <property fmtid="{D5CDD505-2E9C-101B-9397-08002B2CF9AE}" pid="7" name="MSIP_Label_4b9664e8-5bac-43dd-9fd7-fd5d06fe239a_Name">
    <vt:lpwstr>Non-Corning</vt:lpwstr>
  </property>
  <property fmtid="{D5CDD505-2E9C-101B-9397-08002B2CF9AE}" pid="8" name="MSIP_Label_4b9664e8-5bac-43dd-9fd7-fd5d06fe239a_SiteId">
    <vt:lpwstr>b36a1e05-4a62-442b-83cf-dbdd6d7810e4</vt:lpwstr>
  </property>
  <property fmtid="{D5CDD505-2E9C-101B-9397-08002B2CF9AE}" pid="9" name="MSIP_Label_4b9664e8-5bac-43dd-9fd7-fd5d06fe239a_ActionId">
    <vt:lpwstr>9af647a8-d52d-4431-8665-2dd4f2a10506</vt:lpwstr>
  </property>
  <property fmtid="{D5CDD505-2E9C-101B-9397-08002B2CF9AE}" pid="10" name="MSIP_Label_4b9664e8-5bac-43dd-9fd7-fd5d06fe239a_ContentBits">
    <vt:lpwstr>0</vt:lpwstr>
  </property>
  <property fmtid="{D5CDD505-2E9C-101B-9397-08002B2CF9AE}" pid="11" name="MSIP_Label_4b9664e8-5bac-43dd-9fd7-fd5d06fe239a_Tag">
    <vt:lpwstr>10, 0, 1, 1</vt:lpwstr>
  </property>
</Properties>
</file>