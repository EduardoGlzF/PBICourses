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sus.Ayala\Downloads\"/>
    </mc:Choice>
  </mc:AlternateContent>
  <xr:revisionPtr revIDLastSave="0" documentId="13_ncr:1_{6B43D5AC-1707-46D1-83FB-3A7BAA266737}" xr6:coauthVersionLast="47" xr6:coauthVersionMax="47" xr10:uidLastSave="{00000000-0000-0000-0000-000000000000}"/>
  <bookViews>
    <workbookView xWindow="28680" yWindow="-120" windowWidth="29040" windowHeight="15720" xr2:uid="{A734A300-1F94-4FB7-A6A3-682ABB559982}"/>
  </bookViews>
  <sheets>
    <sheet name="Capacity" sheetId="1" r:id="rId1"/>
    <sheet name="Cap Updt" sheetId="4" r:id="rId2"/>
    <sheet name="Demand" sheetId="3" state="hidden" r:id="rId3"/>
    <sheet name="Sheet2" sheetId="2" state="hidden" r:id="rId4"/>
  </sheets>
  <definedNames>
    <definedName name="_xlnm._FilterDatabase" localSheetId="1" hidden="1">'Cap Updt'!$A$1:$O$1</definedName>
    <definedName name="_xlnm._FilterDatabase" localSheetId="0" hidden="1">Capacity!$C$4:$AA$48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3" i="4" l="1"/>
  <c r="N423" i="4"/>
  <c r="O423" i="4"/>
  <c r="M424" i="4"/>
  <c r="N424" i="4"/>
  <c r="O424" i="4"/>
  <c r="M425" i="4"/>
  <c r="N425" i="4"/>
  <c r="O425" i="4"/>
  <c r="M426" i="4"/>
  <c r="N426" i="4"/>
  <c r="O426" i="4"/>
  <c r="O422" i="4"/>
  <c r="N422" i="4"/>
  <c r="M422" i="4"/>
  <c r="K426" i="4"/>
  <c r="J426" i="4"/>
  <c r="I426" i="4"/>
  <c r="H426" i="4"/>
  <c r="G426" i="4"/>
  <c r="F426" i="4"/>
  <c r="E426" i="4"/>
  <c r="K425" i="4"/>
  <c r="J425" i="4"/>
  <c r="I425" i="4"/>
  <c r="H425" i="4"/>
  <c r="G425" i="4"/>
  <c r="F425" i="4"/>
  <c r="E425" i="4"/>
  <c r="K424" i="4"/>
  <c r="J424" i="4"/>
  <c r="I424" i="4"/>
  <c r="H424" i="4"/>
  <c r="G424" i="4"/>
  <c r="F424" i="4"/>
  <c r="E424" i="4"/>
  <c r="K423" i="4"/>
  <c r="J423" i="4"/>
  <c r="I423" i="4"/>
  <c r="H423" i="4"/>
  <c r="G423" i="4"/>
  <c r="F423" i="4"/>
  <c r="E423" i="4"/>
  <c r="K422" i="4"/>
  <c r="J422" i="4"/>
  <c r="I422" i="4"/>
  <c r="H422" i="4"/>
  <c r="G422" i="4"/>
  <c r="F422" i="4"/>
  <c r="E422" i="4"/>
  <c r="M418" i="4"/>
  <c r="N418" i="4"/>
  <c r="O418" i="4"/>
  <c r="M419" i="4"/>
  <c r="N419" i="4"/>
  <c r="O419" i="4"/>
  <c r="M420" i="4"/>
  <c r="N420" i="4"/>
  <c r="O420" i="4"/>
  <c r="M421" i="4"/>
  <c r="N421" i="4"/>
  <c r="O421" i="4"/>
  <c r="O417" i="4"/>
  <c r="N417" i="4"/>
  <c r="M417" i="4"/>
  <c r="K421" i="4"/>
  <c r="J421" i="4"/>
  <c r="I421" i="4"/>
  <c r="H421" i="4"/>
  <c r="G421" i="4"/>
  <c r="F421" i="4"/>
  <c r="E421" i="4"/>
  <c r="K420" i="4"/>
  <c r="J420" i="4"/>
  <c r="I420" i="4"/>
  <c r="H420" i="4"/>
  <c r="G420" i="4"/>
  <c r="F420" i="4"/>
  <c r="E420" i="4"/>
  <c r="K419" i="4"/>
  <c r="J419" i="4"/>
  <c r="I419" i="4"/>
  <c r="H419" i="4"/>
  <c r="G419" i="4"/>
  <c r="F419" i="4"/>
  <c r="E419" i="4"/>
  <c r="K418" i="4"/>
  <c r="J418" i="4"/>
  <c r="I418" i="4"/>
  <c r="H418" i="4"/>
  <c r="G418" i="4"/>
  <c r="F418" i="4"/>
  <c r="E418" i="4"/>
  <c r="K417" i="4"/>
  <c r="J417" i="4"/>
  <c r="I417" i="4"/>
  <c r="H417" i="4"/>
  <c r="G417" i="4"/>
  <c r="F417" i="4"/>
  <c r="E417" i="4"/>
  <c r="M413" i="4"/>
  <c r="N413" i="4"/>
  <c r="O413" i="4"/>
  <c r="M414" i="4"/>
  <c r="N414" i="4"/>
  <c r="O414" i="4"/>
  <c r="M415" i="4"/>
  <c r="N415" i="4"/>
  <c r="O415" i="4"/>
  <c r="M416" i="4"/>
  <c r="N416" i="4"/>
  <c r="O416" i="4"/>
  <c r="O412" i="4"/>
  <c r="N412" i="4"/>
  <c r="M412" i="4"/>
  <c r="K416" i="4"/>
  <c r="J416" i="4"/>
  <c r="I416" i="4"/>
  <c r="H416" i="4"/>
  <c r="G416" i="4"/>
  <c r="F416" i="4"/>
  <c r="E416" i="4"/>
  <c r="K415" i="4"/>
  <c r="J415" i="4"/>
  <c r="I415" i="4"/>
  <c r="H415" i="4"/>
  <c r="G415" i="4"/>
  <c r="F415" i="4"/>
  <c r="E415" i="4"/>
  <c r="K414" i="4"/>
  <c r="J414" i="4"/>
  <c r="I414" i="4"/>
  <c r="H414" i="4"/>
  <c r="G414" i="4"/>
  <c r="F414" i="4"/>
  <c r="E414" i="4"/>
  <c r="K413" i="4"/>
  <c r="J413" i="4"/>
  <c r="I413" i="4"/>
  <c r="H413" i="4"/>
  <c r="G413" i="4"/>
  <c r="F413" i="4"/>
  <c r="E413" i="4"/>
  <c r="K412" i="4"/>
  <c r="J412" i="4"/>
  <c r="I412" i="4"/>
  <c r="H412" i="4"/>
  <c r="G412" i="4"/>
  <c r="F412" i="4"/>
  <c r="E412" i="4"/>
  <c r="F408" i="4"/>
  <c r="G408" i="4"/>
  <c r="H408" i="4"/>
  <c r="I408" i="4"/>
  <c r="J408" i="4"/>
  <c r="K408" i="4"/>
  <c r="F409" i="4"/>
  <c r="G409" i="4"/>
  <c r="H409" i="4"/>
  <c r="I409" i="4"/>
  <c r="J409" i="4"/>
  <c r="K409" i="4"/>
  <c r="F410" i="4"/>
  <c r="G410" i="4"/>
  <c r="H410" i="4"/>
  <c r="I410" i="4"/>
  <c r="J410" i="4"/>
  <c r="K410" i="4"/>
  <c r="F411" i="4"/>
  <c r="G411" i="4"/>
  <c r="H411" i="4"/>
  <c r="I411" i="4"/>
  <c r="J411" i="4"/>
  <c r="K411" i="4"/>
  <c r="M408" i="4"/>
  <c r="N408" i="4"/>
  <c r="O408" i="4"/>
  <c r="M409" i="4"/>
  <c r="N409" i="4"/>
  <c r="O409" i="4"/>
  <c r="M410" i="4"/>
  <c r="N410" i="4"/>
  <c r="O410" i="4"/>
  <c r="M411" i="4"/>
  <c r="N411" i="4"/>
  <c r="O411" i="4"/>
  <c r="O407" i="4"/>
  <c r="N407" i="4"/>
  <c r="M407" i="4"/>
  <c r="K407" i="4"/>
  <c r="J407" i="4"/>
  <c r="I407" i="4"/>
  <c r="H407" i="4"/>
  <c r="G407" i="4"/>
  <c r="F407" i="4"/>
  <c r="E411" i="4"/>
  <c r="E410" i="4"/>
  <c r="E409" i="4"/>
  <c r="E408" i="4"/>
  <c r="E407" i="4"/>
  <c r="M403" i="4"/>
  <c r="N403" i="4"/>
  <c r="O403" i="4"/>
  <c r="M404" i="4"/>
  <c r="N404" i="4"/>
  <c r="O404" i="4"/>
  <c r="M405" i="4"/>
  <c r="N405" i="4"/>
  <c r="O405" i="4"/>
  <c r="M406" i="4"/>
  <c r="N406" i="4"/>
  <c r="O406" i="4"/>
  <c r="O402" i="4"/>
  <c r="N402" i="4"/>
  <c r="M402" i="4"/>
  <c r="K406" i="4"/>
  <c r="J406" i="4"/>
  <c r="I406" i="4"/>
  <c r="H406" i="4"/>
  <c r="G406" i="4"/>
  <c r="F406" i="4"/>
  <c r="E406" i="4"/>
  <c r="K405" i="4"/>
  <c r="J405" i="4"/>
  <c r="I405" i="4"/>
  <c r="H405" i="4"/>
  <c r="G405" i="4"/>
  <c r="F405" i="4"/>
  <c r="E405" i="4"/>
  <c r="K404" i="4"/>
  <c r="J404" i="4"/>
  <c r="I404" i="4"/>
  <c r="H404" i="4"/>
  <c r="G404" i="4"/>
  <c r="F404" i="4"/>
  <c r="E404" i="4"/>
  <c r="K403" i="4"/>
  <c r="J403" i="4"/>
  <c r="I403" i="4"/>
  <c r="H403" i="4"/>
  <c r="G403" i="4"/>
  <c r="F403" i="4"/>
  <c r="E403" i="4"/>
  <c r="K402" i="4"/>
  <c r="J402" i="4"/>
  <c r="I402" i="4"/>
  <c r="H402" i="4"/>
  <c r="G402" i="4"/>
  <c r="F402" i="4"/>
  <c r="E402" i="4"/>
  <c r="M398" i="4"/>
  <c r="N398" i="4"/>
  <c r="O398" i="4"/>
  <c r="M399" i="4"/>
  <c r="N399" i="4"/>
  <c r="O399" i="4"/>
  <c r="M400" i="4"/>
  <c r="N400" i="4"/>
  <c r="O400" i="4"/>
  <c r="M401" i="4"/>
  <c r="N401" i="4"/>
  <c r="O401" i="4"/>
  <c r="O397" i="4"/>
  <c r="N397" i="4"/>
  <c r="M397" i="4"/>
  <c r="K401" i="4"/>
  <c r="J401" i="4"/>
  <c r="I401" i="4"/>
  <c r="H401" i="4"/>
  <c r="G401" i="4"/>
  <c r="F401" i="4"/>
  <c r="E401" i="4"/>
  <c r="K400" i="4"/>
  <c r="J400" i="4"/>
  <c r="I400" i="4"/>
  <c r="H400" i="4"/>
  <c r="G400" i="4"/>
  <c r="F400" i="4"/>
  <c r="E400" i="4"/>
  <c r="K399" i="4"/>
  <c r="J399" i="4"/>
  <c r="I399" i="4"/>
  <c r="H399" i="4"/>
  <c r="G399" i="4"/>
  <c r="F399" i="4"/>
  <c r="E399" i="4"/>
  <c r="K398" i="4"/>
  <c r="J398" i="4"/>
  <c r="I398" i="4"/>
  <c r="H398" i="4"/>
  <c r="G398" i="4"/>
  <c r="F398" i="4"/>
  <c r="E398" i="4"/>
  <c r="K397" i="4"/>
  <c r="J397" i="4"/>
  <c r="I397" i="4"/>
  <c r="H397" i="4"/>
  <c r="G397" i="4"/>
  <c r="F397" i="4"/>
  <c r="E397" i="4"/>
  <c r="M393" i="4"/>
  <c r="N393" i="4"/>
  <c r="O393" i="4"/>
  <c r="M394" i="4"/>
  <c r="N394" i="4"/>
  <c r="O394" i="4"/>
  <c r="M395" i="4"/>
  <c r="N395" i="4"/>
  <c r="O395" i="4"/>
  <c r="M396" i="4"/>
  <c r="N396" i="4"/>
  <c r="O396" i="4"/>
  <c r="O392" i="4"/>
  <c r="N392" i="4"/>
  <c r="M392" i="4"/>
  <c r="K396" i="4"/>
  <c r="J396" i="4"/>
  <c r="I396" i="4"/>
  <c r="H396" i="4"/>
  <c r="G396" i="4"/>
  <c r="F396" i="4"/>
  <c r="E396" i="4"/>
  <c r="K395" i="4"/>
  <c r="J395" i="4"/>
  <c r="I395" i="4"/>
  <c r="H395" i="4"/>
  <c r="G395" i="4"/>
  <c r="F395" i="4"/>
  <c r="E395" i="4"/>
  <c r="K394" i="4"/>
  <c r="J394" i="4"/>
  <c r="I394" i="4"/>
  <c r="H394" i="4"/>
  <c r="G394" i="4"/>
  <c r="F394" i="4"/>
  <c r="E394" i="4"/>
  <c r="K393" i="4"/>
  <c r="J393" i="4"/>
  <c r="I393" i="4"/>
  <c r="H393" i="4"/>
  <c r="G393" i="4"/>
  <c r="F393" i="4"/>
  <c r="E393" i="4"/>
  <c r="K392" i="4"/>
  <c r="J392" i="4"/>
  <c r="I392" i="4"/>
  <c r="H392" i="4"/>
  <c r="G392" i="4"/>
  <c r="F392" i="4"/>
  <c r="E392" i="4"/>
  <c r="M388" i="4"/>
  <c r="N388" i="4"/>
  <c r="O388" i="4"/>
  <c r="M389" i="4"/>
  <c r="N389" i="4"/>
  <c r="O389" i="4"/>
  <c r="M390" i="4"/>
  <c r="N390" i="4"/>
  <c r="O390" i="4"/>
  <c r="M391" i="4"/>
  <c r="N391" i="4"/>
  <c r="O391" i="4"/>
  <c r="F388" i="4"/>
  <c r="G388" i="4"/>
  <c r="H388" i="4"/>
  <c r="I388" i="4"/>
  <c r="J388" i="4"/>
  <c r="K388" i="4"/>
  <c r="F389" i="4"/>
  <c r="G389" i="4"/>
  <c r="H389" i="4"/>
  <c r="I389" i="4"/>
  <c r="J389" i="4"/>
  <c r="K389" i="4"/>
  <c r="F390" i="4"/>
  <c r="G390" i="4"/>
  <c r="H390" i="4"/>
  <c r="I390" i="4"/>
  <c r="J390" i="4"/>
  <c r="K390" i="4"/>
  <c r="F391" i="4"/>
  <c r="G391" i="4"/>
  <c r="H391" i="4"/>
  <c r="I391" i="4"/>
  <c r="J391" i="4"/>
  <c r="K391" i="4"/>
  <c r="O387" i="4"/>
  <c r="N387" i="4"/>
  <c r="M387" i="4"/>
  <c r="K387" i="4"/>
  <c r="J387" i="4"/>
  <c r="I387" i="4"/>
  <c r="H387" i="4"/>
  <c r="G387" i="4"/>
  <c r="F387" i="4"/>
  <c r="E391" i="4"/>
  <c r="E390" i="4"/>
  <c r="E389" i="4"/>
  <c r="E388" i="4"/>
  <c r="E387" i="4"/>
  <c r="M383" i="4"/>
  <c r="N383" i="4"/>
  <c r="O383" i="4"/>
  <c r="M384" i="4"/>
  <c r="N384" i="4"/>
  <c r="O384" i="4"/>
  <c r="M385" i="4"/>
  <c r="N385" i="4"/>
  <c r="O385" i="4"/>
  <c r="M386" i="4"/>
  <c r="N386" i="4"/>
  <c r="O386" i="4"/>
  <c r="O382" i="4"/>
  <c r="N382" i="4"/>
  <c r="M382" i="4"/>
  <c r="K386" i="4"/>
  <c r="J386" i="4"/>
  <c r="I386" i="4"/>
  <c r="H386" i="4"/>
  <c r="G386" i="4"/>
  <c r="F386" i="4"/>
  <c r="E386" i="4"/>
  <c r="K385" i="4"/>
  <c r="J385" i="4"/>
  <c r="I385" i="4"/>
  <c r="H385" i="4"/>
  <c r="G385" i="4"/>
  <c r="F385" i="4"/>
  <c r="E385" i="4"/>
  <c r="K384" i="4"/>
  <c r="J384" i="4"/>
  <c r="I384" i="4"/>
  <c r="H384" i="4"/>
  <c r="G384" i="4"/>
  <c r="F384" i="4"/>
  <c r="E384" i="4"/>
  <c r="K383" i="4"/>
  <c r="J383" i="4"/>
  <c r="I383" i="4"/>
  <c r="H383" i="4"/>
  <c r="G383" i="4"/>
  <c r="F383" i="4"/>
  <c r="E383" i="4"/>
  <c r="K382" i="4"/>
  <c r="J382" i="4"/>
  <c r="I382" i="4"/>
  <c r="H382" i="4"/>
  <c r="G382" i="4"/>
  <c r="F382" i="4"/>
  <c r="E382" i="4"/>
  <c r="M378" i="4"/>
  <c r="N378" i="4"/>
  <c r="O378" i="4"/>
  <c r="M379" i="4"/>
  <c r="N379" i="4"/>
  <c r="O379" i="4"/>
  <c r="M380" i="4"/>
  <c r="N380" i="4"/>
  <c r="O380" i="4"/>
  <c r="M381" i="4"/>
  <c r="N381" i="4"/>
  <c r="O381" i="4"/>
  <c r="O377" i="4"/>
  <c r="N377" i="4"/>
  <c r="M377" i="4"/>
  <c r="K381" i="4"/>
  <c r="J381" i="4"/>
  <c r="I381" i="4"/>
  <c r="H381" i="4"/>
  <c r="G381" i="4"/>
  <c r="F381" i="4"/>
  <c r="E381" i="4"/>
  <c r="K380" i="4"/>
  <c r="J380" i="4"/>
  <c r="I380" i="4"/>
  <c r="H380" i="4"/>
  <c r="G380" i="4"/>
  <c r="F380" i="4"/>
  <c r="E380" i="4"/>
  <c r="K379" i="4"/>
  <c r="J379" i="4"/>
  <c r="I379" i="4"/>
  <c r="H379" i="4"/>
  <c r="G379" i="4"/>
  <c r="F379" i="4"/>
  <c r="E379" i="4"/>
  <c r="K378" i="4"/>
  <c r="J378" i="4"/>
  <c r="I378" i="4"/>
  <c r="H378" i="4"/>
  <c r="G378" i="4"/>
  <c r="F378" i="4"/>
  <c r="E378" i="4"/>
  <c r="K377" i="4"/>
  <c r="J377" i="4"/>
  <c r="I377" i="4"/>
  <c r="H377" i="4"/>
  <c r="G377" i="4"/>
  <c r="F377" i="4"/>
  <c r="E377" i="4"/>
  <c r="M373" i="4"/>
  <c r="N373" i="4"/>
  <c r="O373" i="4"/>
  <c r="M374" i="4"/>
  <c r="N374" i="4"/>
  <c r="O374" i="4"/>
  <c r="M375" i="4"/>
  <c r="N375" i="4"/>
  <c r="O375" i="4"/>
  <c r="M376" i="4"/>
  <c r="N376" i="4"/>
  <c r="O376" i="4"/>
  <c r="O372" i="4"/>
  <c r="N372" i="4"/>
  <c r="M372" i="4"/>
  <c r="K376" i="4"/>
  <c r="J376" i="4"/>
  <c r="I376" i="4"/>
  <c r="H376" i="4"/>
  <c r="G376" i="4"/>
  <c r="F376" i="4"/>
  <c r="E376" i="4"/>
  <c r="K375" i="4"/>
  <c r="J375" i="4"/>
  <c r="I375" i="4"/>
  <c r="H375" i="4"/>
  <c r="G375" i="4"/>
  <c r="F375" i="4"/>
  <c r="E375" i="4"/>
  <c r="K374" i="4"/>
  <c r="J374" i="4"/>
  <c r="I374" i="4"/>
  <c r="H374" i="4"/>
  <c r="G374" i="4"/>
  <c r="F374" i="4"/>
  <c r="E374" i="4"/>
  <c r="K373" i="4"/>
  <c r="J373" i="4"/>
  <c r="I373" i="4"/>
  <c r="H373" i="4"/>
  <c r="G373" i="4"/>
  <c r="F373" i="4"/>
  <c r="E373" i="4"/>
  <c r="K372" i="4"/>
  <c r="J372" i="4"/>
  <c r="I372" i="4"/>
  <c r="H372" i="4"/>
  <c r="G372" i="4"/>
  <c r="F372" i="4"/>
  <c r="E372" i="4"/>
  <c r="M368" i="4"/>
  <c r="N368" i="4"/>
  <c r="O368" i="4"/>
  <c r="M369" i="4"/>
  <c r="N369" i="4"/>
  <c r="O369" i="4"/>
  <c r="M370" i="4"/>
  <c r="N370" i="4"/>
  <c r="O370" i="4"/>
  <c r="M371" i="4"/>
  <c r="N371" i="4"/>
  <c r="O371" i="4"/>
  <c r="F368" i="4"/>
  <c r="G368" i="4"/>
  <c r="H368" i="4"/>
  <c r="I368" i="4"/>
  <c r="J368" i="4"/>
  <c r="K368" i="4"/>
  <c r="F369" i="4"/>
  <c r="G369" i="4"/>
  <c r="H369" i="4"/>
  <c r="I369" i="4"/>
  <c r="J369" i="4"/>
  <c r="K369" i="4"/>
  <c r="F370" i="4"/>
  <c r="G370" i="4"/>
  <c r="H370" i="4"/>
  <c r="I370" i="4"/>
  <c r="J370" i="4"/>
  <c r="K370" i="4"/>
  <c r="F371" i="4"/>
  <c r="G371" i="4"/>
  <c r="H371" i="4"/>
  <c r="I371" i="4"/>
  <c r="J371" i="4"/>
  <c r="K371" i="4"/>
  <c r="O367" i="4"/>
  <c r="N367" i="4"/>
  <c r="M367" i="4"/>
  <c r="K367" i="4"/>
  <c r="J367" i="4"/>
  <c r="I367" i="4"/>
  <c r="H367" i="4"/>
  <c r="G367" i="4"/>
  <c r="F367" i="4"/>
  <c r="E371" i="4"/>
  <c r="E370" i="4"/>
  <c r="E369" i="4"/>
  <c r="E368" i="4"/>
  <c r="E367" i="4"/>
  <c r="M363" i="4"/>
  <c r="N363" i="4"/>
  <c r="O363" i="4"/>
  <c r="M364" i="4"/>
  <c r="N364" i="4"/>
  <c r="O364" i="4"/>
  <c r="M365" i="4"/>
  <c r="N365" i="4"/>
  <c r="O365" i="4"/>
  <c r="M366" i="4"/>
  <c r="N366" i="4"/>
  <c r="O366" i="4"/>
  <c r="O362" i="4"/>
  <c r="N362" i="4"/>
  <c r="M362" i="4"/>
  <c r="K366" i="4"/>
  <c r="J366" i="4"/>
  <c r="I366" i="4"/>
  <c r="H366" i="4"/>
  <c r="G366" i="4"/>
  <c r="F366" i="4"/>
  <c r="E366" i="4"/>
  <c r="K365" i="4"/>
  <c r="J365" i="4"/>
  <c r="I365" i="4"/>
  <c r="H365" i="4"/>
  <c r="G365" i="4"/>
  <c r="F365" i="4"/>
  <c r="E365" i="4"/>
  <c r="K364" i="4"/>
  <c r="J364" i="4"/>
  <c r="I364" i="4"/>
  <c r="H364" i="4"/>
  <c r="G364" i="4"/>
  <c r="F364" i="4"/>
  <c r="E364" i="4"/>
  <c r="K363" i="4"/>
  <c r="J363" i="4"/>
  <c r="I363" i="4"/>
  <c r="H363" i="4"/>
  <c r="G363" i="4"/>
  <c r="F363" i="4"/>
  <c r="E363" i="4"/>
  <c r="K362" i="4"/>
  <c r="J362" i="4"/>
  <c r="I362" i="4"/>
  <c r="H362" i="4"/>
  <c r="G362" i="4"/>
  <c r="F362" i="4"/>
  <c r="E362" i="4"/>
  <c r="M358" i="4"/>
  <c r="N358" i="4"/>
  <c r="O358" i="4"/>
  <c r="M359" i="4"/>
  <c r="N359" i="4"/>
  <c r="O359" i="4"/>
  <c r="M360" i="4"/>
  <c r="N360" i="4"/>
  <c r="O360" i="4"/>
  <c r="M361" i="4"/>
  <c r="N361" i="4"/>
  <c r="O361" i="4"/>
  <c r="O357" i="4"/>
  <c r="N357" i="4"/>
  <c r="M357" i="4"/>
  <c r="K361" i="4"/>
  <c r="J361" i="4"/>
  <c r="I361" i="4"/>
  <c r="H361" i="4"/>
  <c r="G361" i="4"/>
  <c r="F361" i="4"/>
  <c r="E361" i="4"/>
  <c r="K360" i="4"/>
  <c r="J360" i="4"/>
  <c r="I360" i="4"/>
  <c r="H360" i="4"/>
  <c r="G360" i="4"/>
  <c r="F360" i="4"/>
  <c r="E360" i="4"/>
  <c r="K359" i="4"/>
  <c r="J359" i="4"/>
  <c r="I359" i="4"/>
  <c r="H359" i="4"/>
  <c r="G359" i="4"/>
  <c r="F359" i="4"/>
  <c r="E359" i="4"/>
  <c r="K358" i="4"/>
  <c r="J358" i="4"/>
  <c r="I358" i="4"/>
  <c r="H358" i="4"/>
  <c r="G358" i="4"/>
  <c r="F358" i="4"/>
  <c r="E358" i="4"/>
  <c r="K357" i="4"/>
  <c r="J357" i="4"/>
  <c r="I357" i="4"/>
  <c r="H357" i="4"/>
  <c r="G357" i="4"/>
  <c r="F357" i="4"/>
  <c r="E357" i="4"/>
  <c r="M353" i="4"/>
  <c r="N353" i="4"/>
  <c r="O353" i="4"/>
  <c r="M354" i="4"/>
  <c r="N354" i="4"/>
  <c r="O354" i="4"/>
  <c r="M355" i="4"/>
  <c r="N355" i="4"/>
  <c r="O355" i="4"/>
  <c r="M356" i="4"/>
  <c r="N356" i="4"/>
  <c r="O356" i="4"/>
  <c r="O352" i="4"/>
  <c r="N352" i="4"/>
  <c r="M352" i="4"/>
  <c r="K356" i="4"/>
  <c r="J356" i="4"/>
  <c r="I356" i="4"/>
  <c r="H356" i="4"/>
  <c r="G356" i="4"/>
  <c r="F356" i="4"/>
  <c r="E356" i="4"/>
  <c r="K355" i="4"/>
  <c r="J355" i="4"/>
  <c r="I355" i="4"/>
  <c r="H355" i="4"/>
  <c r="G355" i="4"/>
  <c r="F355" i="4"/>
  <c r="E355" i="4"/>
  <c r="K354" i="4"/>
  <c r="J354" i="4"/>
  <c r="I354" i="4"/>
  <c r="H354" i="4"/>
  <c r="G354" i="4"/>
  <c r="F354" i="4"/>
  <c r="E354" i="4"/>
  <c r="K353" i="4"/>
  <c r="J353" i="4"/>
  <c r="I353" i="4"/>
  <c r="H353" i="4"/>
  <c r="G353" i="4"/>
  <c r="F353" i="4"/>
  <c r="E353" i="4"/>
  <c r="K352" i="4"/>
  <c r="J352" i="4"/>
  <c r="I352" i="4"/>
  <c r="H352" i="4"/>
  <c r="G352" i="4"/>
  <c r="F352" i="4"/>
  <c r="E352" i="4"/>
  <c r="M348" i="4"/>
  <c r="N348" i="4"/>
  <c r="O348" i="4"/>
  <c r="M349" i="4"/>
  <c r="N349" i="4"/>
  <c r="O349" i="4"/>
  <c r="M350" i="4"/>
  <c r="N350" i="4"/>
  <c r="O350" i="4"/>
  <c r="M351" i="4"/>
  <c r="N351" i="4"/>
  <c r="O351" i="4"/>
  <c r="F348" i="4"/>
  <c r="G348" i="4"/>
  <c r="H348" i="4"/>
  <c r="I348" i="4"/>
  <c r="J348" i="4"/>
  <c r="K348" i="4"/>
  <c r="F349" i="4"/>
  <c r="G349" i="4"/>
  <c r="H349" i="4"/>
  <c r="I349" i="4"/>
  <c r="J349" i="4"/>
  <c r="K349" i="4"/>
  <c r="F350" i="4"/>
  <c r="G350" i="4"/>
  <c r="H350" i="4"/>
  <c r="I350" i="4"/>
  <c r="J350" i="4"/>
  <c r="K350" i="4"/>
  <c r="F351" i="4"/>
  <c r="G351" i="4"/>
  <c r="H351" i="4"/>
  <c r="I351" i="4"/>
  <c r="J351" i="4"/>
  <c r="K351" i="4"/>
  <c r="O347" i="4"/>
  <c r="N347" i="4"/>
  <c r="M347" i="4"/>
  <c r="K347" i="4"/>
  <c r="J347" i="4"/>
  <c r="I347" i="4"/>
  <c r="H347" i="4"/>
  <c r="G347" i="4"/>
  <c r="F347" i="4"/>
  <c r="E350" i="4"/>
  <c r="E349" i="4"/>
  <c r="E348" i="4"/>
  <c r="E347" i="4"/>
  <c r="M343" i="4"/>
  <c r="N343" i="4"/>
  <c r="O343" i="4"/>
  <c r="M344" i="4"/>
  <c r="N344" i="4"/>
  <c r="O344" i="4"/>
  <c r="M345" i="4"/>
  <c r="N345" i="4"/>
  <c r="O345" i="4"/>
  <c r="M346" i="4"/>
  <c r="N346" i="4"/>
  <c r="O346" i="4"/>
  <c r="O342" i="4"/>
  <c r="N342" i="4"/>
  <c r="M342" i="4"/>
  <c r="K346" i="4"/>
  <c r="J346" i="4"/>
  <c r="I346" i="4"/>
  <c r="H346" i="4"/>
  <c r="G346" i="4"/>
  <c r="F346" i="4"/>
  <c r="E346" i="4"/>
  <c r="K345" i="4"/>
  <c r="J345" i="4"/>
  <c r="I345" i="4"/>
  <c r="H345" i="4"/>
  <c r="G345" i="4"/>
  <c r="F345" i="4"/>
  <c r="E345" i="4"/>
  <c r="K344" i="4"/>
  <c r="J344" i="4"/>
  <c r="I344" i="4"/>
  <c r="H344" i="4"/>
  <c r="G344" i="4"/>
  <c r="F344" i="4"/>
  <c r="E344" i="4"/>
  <c r="K343" i="4"/>
  <c r="J343" i="4"/>
  <c r="I343" i="4"/>
  <c r="H343" i="4"/>
  <c r="G343" i="4"/>
  <c r="F343" i="4"/>
  <c r="E343" i="4"/>
  <c r="K342" i="4"/>
  <c r="J342" i="4"/>
  <c r="I342" i="4"/>
  <c r="H342" i="4"/>
  <c r="G342" i="4"/>
  <c r="F342" i="4"/>
  <c r="E342" i="4"/>
  <c r="M338" i="4"/>
  <c r="N338" i="4"/>
  <c r="O338" i="4"/>
  <c r="M339" i="4"/>
  <c r="N339" i="4"/>
  <c r="O339" i="4"/>
  <c r="M340" i="4"/>
  <c r="N340" i="4"/>
  <c r="O340" i="4"/>
  <c r="M341" i="4"/>
  <c r="N341" i="4"/>
  <c r="O341" i="4"/>
  <c r="O337" i="4"/>
  <c r="N337" i="4"/>
  <c r="M337" i="4"/>
  <c r="K341" i="4"/>
  <c r="J341" i="4"/>
  <c r="I341" i="4"/>
  <c r="H341" i="4"/>
  <c r="G341" i="4"/>
  <c r="F341" i="4"/>
  <c r="E341" i="4"/>
  <c r="K340" i="4"/>
  <c r="J340" i="4"/>
  <c r="I340" i="4"/>
  <c r="H340" i="4"/>
  <c r="G340" i="4"/>
  <c r="F340" i="4"/>
  <c r="E340" i="4"/>
  <c r="K339" i="4"/>
  <c r="J339" i="4"/>
  <c r="I339" i="4"/>
  <c r="H339" i="4"/>
  <c r="G339" i="4"/>
  <c r="F339" i="4"/>
  <c r="E339" i="4"/>
  <c r="K338" i="4"/>
  <c r="J338" i="4"/>
  <c r="I338" i="4"/>
  <c r="H338" i="4"/>
  <c r="G338" i="4"/>
  <c r="F338" i="4"/>
  <c r="E338" i="4"/>
  <c r="K337" i="4"/>
  <c r="J337" i="4"/>
  <c r="I337" i="4"/>
  <c r="H337" i="4"/>
  <c r="G337" i="4"/>
  <c r="F337" i="4"/>
  <c r="E337" i="4"/>
  <c r="M333" i="4"/>
  <c r="N333" i="4"/>
  <c r="O333" i="4"/>
  <c r="M334" i="4"/>
  <c r="N334" i="4"/>
  <c r="O334" i="4"/>
  <c r="M335" i="4"/>
  <c r="N335" i="4"/>
  <c r="O335" i="4"/>
  <c r="M336" i="4"/>
  <c r="N336" i="4"/>
  <c r="O336" i="4"/>
  <c r="O332" i="4"/>
  <c r="N332" i="4"/>
  <c r="M332" i="4"/>
  <c r="K336" i="4"/>
  <c r="J336" i="4"/>
  <c r="I336" i="4"/>
  <c r="H336" i="4"/>
  <c r="G336" i="4"/>
  <c r="F336" i="4"/>
  <c r="E336" i="4"/>
  <c r="K335" i="4"/>
  <c r="J335" i="4"/>
  <c r="I335" i="4"/>
  <c r="H335" i="4"/>
  <c r="G335" i="4"/>
  <c r="F335" i="4"/>
  <c r="E335" i="4"/>
  <c r="K334" i="4"/>
  <c r="J334" i="4"/>
  <c r="I334" i="4"/>
  <c r="H334" i="4"/>
  <c r="G334" i="4"/>
  <c r="F334" i="4"/>
  <c r="E334" i="4"/>
  <c r="K333" i="4"/>
  <c r="J333" i="4"/>
  <c r="I333" i="4"/>
  <c r="H333" i="4"/>
  <c r="G333" i="4"/>
  <c r="F333" i="4"/>
  <c r="E333" i="4"/>
  <c r="K332" i="4"/>
  <c r="J332" i="4"/>
  <c r="I332" i="4"/>
  <c r="H332" i="4"/>
  <c r="G332" i="4"/>
  <c r="F332" i="4"/>
  <c r="E332" i="4"/>
  <c r="E351" i="4"/>
  <c r="M328" i="4"/>
  <c r="N328" i="4"/>
  <c r="O328" i="4"/>
  <c r="M329" i="4"/>
  <c r="N329" i="4"/>
  <c r="O329" i="4"/>
  <c r="M330" i="4"/>
  <c r="N330" i="4"/>
  <c r="O330" i="4"/>
  <c r="M331" i="4"/>
  <c r="N331" i="4"/>
  <c r="O331" i="4"/>
  <c r="F328" i="4"/>
  <c r="G328" i="4"/>
  <c r="H328" i="4"/>
  <c r="I328" i="4"/>
  <c r="J328" i="4"/>
  <c r="K328" i="4"/>
  <c r="F329" i="4"/>
  <c r="G329" i="4"/>
  <c r="H329" i="4"/>
  <c r="I329" i="4"/>
  <c r="J329" i="4"/>
  <c r="K329" i="4"/>
  <c r="F330" i="4"/>
  <c r="G330" i="4"/>
  <c r="H330" i="4"/>
  <c r="I330" i="4"/>
  <c r="J330" i="4"/>
  <c r="K330" i="4"/>
  <c r="F331" i="4"/>
  <c r="G331" i="4"/>
  <c r="H331" i="4"/>
  <c r="I331" i="4"/>
  <c r="J331" i="4"/>
  <c r="K331" i="4"/>
  <c r="O327" i="4"/>
  <c r="N327" i="4"/>
  <c r="M327" i="4"/>
  <c r="K327" i="4"/>
  <c r="J327" i="4"/>
  <c r="I327" i="4"/>
  <c r="H327" i="4"/>
  <c r="G327" i="4"/>
  <c r="F327" i="4"/>
  <c r="E331" i="4"/>
  <c r="E330" i="4"/>
  <c r="E329" i="4"/>
  <c r="E328" i="4"/>
  <c r="E327" i="4"/>
  <c r="M323" i="4"/>
  <c r="N323" i="4"/>
  <c r="O323" i="4"/>
  <c r="M324" i="4"/>
  <c r="N324" i="4"/>
  <c r="O324" i="4"/>
  <c r="M325" i="4"/>
  <c r="N325" i="4"/>
  <c r="O325" i="4"/>
  <c r="M326" i="4"/>
  <c r="N326" i="4"/>
  <c r="O326" i="4"/>
  <c r="O322" i="4"/>
  <c r="N322" i="4"/>
  <c r="M322" i="4"/>
  <c r="K326" i="4"/>
  <c r="J326" i="4"/>
  <c r="I326" i="4"/>
  <c r="H326" i="4"/>
  <c r="G326" i="4"/>
  <c r="F326" i="4"/>
  <c r="E326" i="4"/>
  <c r="K325" i="4"/>
  <c r="J325" i="4"/>
  <c r="I325" i="4"/>
  <c r="H325" i="4"/>
  <c r="G325" i="4"/>
  <c r="F325" i="4"/>
  <c r="E325" i="4"/>
  <c r="K324" i="4"/>
  <c r="J324" i="4"/>
  <c r="I324" i="4"/>
  <c r="H324" i="4"/>
  <c r="G324" i="4"/>
  <c r="F324" i="4"/>
  <c r="E324" i="4"/>
  <c r="K323" i="4"/>
  <c r="J323" i="4"/>
  <c r="I323" i="4"/>
  <c r="H323" i="4"/>
  <c r="G323" i="4"/>
  <c r="F323" i="4"/>
  <c r="E323" i="4"/>
  <c r="K322" i="4"/>
  <c r="J322" i="4"/>
  <c r="I322" i="4"/>
  <c r="H322" i="4"/>
  <c r="G322" i="4"/>
  <c r="F322" i="4"/>
  <c r="E322" i="4"/>
  <c r="M318" i="4"/>
  <c r="N318" i="4"/>
  <c r="O318" i="4"/>
  <c r="M319" i="4"/>
  <c r="N319" i="4"/>
  <c r="O319" i="4"/>
  <c r="M320" i="4"/>
  <c r="N320" i="4"/>
  <c r="O320" i="4"/>
  <c r="M321" i="4"/>
  <c r="N321" i="4"/>
  <c r="O321" i="4"/>
  <c r="O317" i="4"/>
  <c r="N317" i="4"/>
  <c r="M317" i="4"/>
  <c r="K321" i="4"/>
  <c r="J321" i="4"/>
  <c r="I321" i="4"/>
  <c r="H321" i="4"/>
  <c r="G321" i="4"/>
  <c r="F321" i="4"/>
  <c r="E321" i="4"/>
  <c r="K320" i="4"/>
  <c r="J320" i="4"/>
  <c r="I320" i="4"/>
  <c r="H320" i="4"/>
  <c r="G320" i="4"/>
  <c r="F320" i="4"/>
  <c r="E320" i="4"/>
  <c r="K319" i="4"/>
  <c r="J319" i="4"/>
  <c r="I319" i="4"/>
  <c r="H319" i="4"/>
  <c r="G319" i="4"/>
  <c r="F319" i="4"/>
  <c r="E319" i="4"/>
  <c r="K318" i="4"/>
  <c r="J318" i="4"/>
  <c r="I318" i="4"/>
  <c r="H318" i="4"/>
  <c r="G318" i="4"/>
  <c r="F318" i="4"/>
  <c r="E318" i="4"/>
  <c r="K317" i="4"/>
  <c r="J317" i="4"/>
  <c r="I317" i="4"/>
  <c r="H317" i="4"/>
  <c r="G317" i="4"/>
  <c r="F317" i="4"/>
  <c r="E317" i="4"/>
  <c r="M313" i="4"/>
  <c r="N313" i="4"/>
  <c r="O313" i="4"/>
  <c r="M314" i="4"/>
  <c r="N314" i="4"/>
  <c r="O314" i="4"/>
  <c r="M315" i="4"/>
  <c r="N315" i="4"/>
  <c r="O315" i="4"/>
  <c r="M316" i="4"/>
  <c r="N316" i="4"/>
  <c r="O316" i="4"/>
  <c r="O312" i="4"/>
  <c r="N312" i="4"/>
  <c r="M312" i="4"/>
  <c r="K316" i="4"/>
  <c r="J316" i="4"/>
  <c r="I316" i="4"/>
  <c r="H316" i="4"/>
  <c r="G316" i="4"/>
  <c r="F316" i="4"/>
  <c r="E316" i="4"/>
  <c r="K315" i="4"/>
  <c r="J315" i="4"/>
  <c r="I315" i="4"/>
  <c r="H315" i="4"/>
  <c r="G315" i="4"/>
  <c r="F315" i="4"/>
  <c r="E315" i="4"/>
  <c r="K314" i="4"/>
  <c r="J314" i="4"/>
  <c r="I314" i="4"/>
  <c r="H314" i="4"/>
  <c r="G314" i="4"/>
  <c r="F314" i="4"/>
  <c r="E314" i="4"/>
  <c r="K313" i="4"/>
  <c r="J313" i="4"/>
  <c r="I313" i="4"/>
  <c r="H313" i="4"/>
  <c r="G313" i="4"/>
  <c r="F313" i="4"/>
  <c r="E313" i="4"/>
  <c r="K312" i="4"/>
  <c r="J312" i="4"/>
  <c r="I312" i="4"/>
  <c r="H312" i="4"/>
  <c r="G312" i="4"/>
  <c r="F312" i="4"/>
  <c r="E312" i="4"/>
  <c r="M308" i="4"/>
  <c r="N308" i="4"/>
  <c r="O308" i="4"/>
  <c r="M309" i="4"/>
  <c r="N309" i="4"/>
  <c r="O309" i="4"/>
  <c r="M310" i="4"/>
  <c r="N310" i="4"/>
  <c r="O310" i="4"/>
  <c r="M311" i="4"/>
  <c r="N311" i="4"/>
  <c r="O311" i="4"/>
  <c r="F308" i="4"/>
  <c r="G308" i="4"/>
  <c r="H308" i="4"/>
  <c r="I308" i="4"/>
  <c r="J308" i="4"/>
  <c r="K308" i="4"/>
  <c r="F309" i="4"/>
  <c r="G309" i="4"/>
  <c r="H309" i="4"/>
  <c r="I309" i="4"/>
  <c r="J309" i="4"/>
  <c r="K309" i="4"/>
  <c r="F310" i="4"/>
  <c r="G310" i="4"/>
  <c r="H310" i="4"/>
  <c r="I310" i="4"/>
  <c r="J310" i="4"/>
  <c r="K310" i="4"/>
  <c r="F311" i="4"/>
  <c r="G311" i="4"/>
  <c r="H311" i="4"/>
  <c r="I311" i="4"/>
  <c r="J311" i="4"/>
  <c r="K311" i="4"/>
  <c r="O307" i="4"/>
  <c r="N307" i="4"/>
  <c r="M307" i="4"/>
  <c r="K307" i="4"/>
  <c r="J307" i="4"/>
  <c r="I307" i="4"/>
  <c r="H307" i="4"/>
  <c r="G307" i="4"/>
  <c r="F307" i="4"/>
  <c r="E311" i="4"/>
  <c r="E310" i="4"/>
  <c r="E309" i="4"/>
  <c r="E308" i="4"/>
  <c r="E307" i="4"/>
  <c r="M303" i="4"/>
  <c r="N303" i="4"/>
  <c r="O303" i="4"/>
  <c r="M304" i="4"/>
  <c r="N304" i="4"/>
  <c r="O304" i="4"/>
  <c r="M305" i="4"/>
  <c r="N305" i="4"/>
  <c r="O305" i="4"/>
  <c r="M306" i="4"/>
  <c r="N306" i="4"/>
  <c r="O306" i="4"/>
  <c r="O302" i="4"/>
  <c r="N302" i="4"/>
  <c r="M302" i="4"/>
  <c r="K306" i="4"/>
  <c r="J306" i="4"/>
  <c r="I306" i="4"/>
  <c r="H306" i="4"/>
  <c r="G306" i="4"/>
  <c r="F306" i="4"/>
  <c r="E306" i="4"/>
  <c r="K305" i="4"/>
  <c r="J305" i="4"/>
  <c r="I305" i="4"/>
  <c r="H305" i="4"/>
  <c r="G305" i="4"/>
  <c r="F305" i="4"/>
  <c r="E305" i="4"/>
  <c r="K304" i="4"/>
  <c r="J304" i="4"/>
  <c r="I304" i="4"/>
  <c r="H304" i="4"/>
  <c r="G304" i="4"/>
  <c r="F304" i="4"/>
  <c r="E304" i="4"/>
  <c r="K303" i="4"/>
  <c r="J303" i="4"/>
  <c r="I303" i="4"/>
  <c r="H303" i="4"/>
  <c r="G303" i="4"/>
  <c r="F303" i="4"/>
  <c r="E303" i="4"/>
  <c r="K302" i="4"/>
  <c r="J302" i="4"/>
  <c r="I302" i="4"/>
  <c r="H302" i="4"/>
  <c r="G302" i="4"/>
  <c r="F302" i="4"/>
  <c r="E302" i="4"/>
  <c r="M298" i="4"/>
  <c r="N298" i="4"/>
  <c r="O298" i="4"/>
  <c r="M299" i="4"/>
  <c r="N299" i="4"/>
  <c r="O299" i="4"/>
  <c r="M300" i="4"/>
  <c r="N300" i="4"/>
  <c r="O300" i="4"/>
  <c r="M301" i="4"/>
  <c r="N301" i="4"/>
  <c r="O301" i="4"/>
  <c r="O297" i="4"/>
  <c r="N297" i="4"/>
  <c r="M297" i="4"/>
  <c r="K301" i="4"/>
  <c r="J301" i="4"/>
  <c r="I301" i="4"/>
  <c r="H301" i="4"/>
  <c r="G301" i="4"/>
  <c r="F301" i="4"/>
  <c r="E301" i="4"/>
  <c r="K300" i="4"/>
  <c r="J300" i="4"/>
  <c r="I300" i="4"/>
  <c r="H300" i="4"/>
  <c r="G300" i="4"/>
  <c r="F300" i="4"/>
  <c r="E300" i="4"/>
  <c r="K299" i="4"/>
  <c r="J299" i="4"/>
  <c r="I299" i="4"/>
  <c r="H299" i="4"/>
  <c r="G299" i="4"/>
  <c r="F299" i="4"/>
  <c r="E299" i="4"/>
  <c r="K298" i="4"/>
  <c r="J298" i="4"/>
  <c r="I298" i="4"/>
  <c r="H298" i="4"/>
  <c r="G298" i="4"/>
  <c r="F298" i="4"/>
  <c r="E298" i="4"/>
  <c r="K297" i="4"/>
  <c r="J297" i="4"/>
  <c r="I297" i="4"/>
  <c r="H297" i="4"/>
  <c r="G297" i="4"/>
  <c r="F297" i="4"/>
  <c r="E297" i="4"/>
  <c r="M293" i="4"/>
  <c r="N293" i="4"/>
  <c r="O293" i="4"/>
  <c r="M294" i="4"/>
  <c r="N294" i="4"/>
  <c r="O294" i="4"/>
  <c r="M295" i="4"/>
  <c r="N295" i="4"/>
  <c r="O295" i="4"/>
  <c r="M296" i="4"/>
  <c r="N296" i="4"/>
  <c r="O296" i="4"/>
  <c r="O292" i="4"/>
  <c r="N292" i="4"/>
  <c r="M292" i="4"/>
  <c r="K296" i="4"/>
  <c r="J296" i="4"/>
  <c r="I296" i="4"/>
  <c r="H296" i="4"/>
  <c r="G296" i="4"/>
  <c r="F296" i="4"/>
  <c r="E296" i="4"/>
  <c r="K295" i="4"/>
  <c r="J295" i="4"/>
  <c r="I295" i="4"/>
  <c r="H295" i="4"/>
  <c r="G295" i="4"/>
  <c r="F295" i="4"/>
  <c r="E295" i="4"/>
  <c r="K294" i="4"/>
  <c r="J294" i="4"/>
  <c r="I294" i="4"/>
  <c r="H294" i="4"/>
  <c r="G294" i="4"/>
  <c r="F294" i="4"/>
  <c r="E294" i="4"/>
  <c r="K293" i="4"/>
  <c r="J293" i="4"/>
  <c r="I293" i="4"/>
  <c r="H293" i="4"/>
  <c r="G293" i="4"/>
  <c r="F293" i="4"/>
  <c r="E293" i="4"/>
  <c r="K292" i="4"/>
  <c r="J292" i="4"/>
  <c r="I292" i="4"/>
  <c r="H292" i="4"/>
  <c r="G292" i="4"/>
  <c r="F292" i="4"/>
  <c r="E292" i="4"/>
  <c r="M288" i="4"/>
  <c r="N288" i="4"/>
  <c r="O288" i="4"/>
  <c r="M289" i="4"/>
  <c r="N289" i="4"/>
  <c r="O289" i="4"/>
  <c r="M290" i="4"/>
  <c r="N290" i="4"/>
  <c r="O290" i="4"/>
  <c r="M291" i="4"/>
  <c r="N291" i="4"/>
  <c r="O291" i="4"/>
  <c r="F288" i="4"/>
  <c r="G288" i="4"/>
  <c r="H288" i="4"/>
  <c r="I288" i="4"/>
  <c r="J288" i="4"/>
  <c r="K288" i="4"/>
  <c r="F289" i="4"/>
  <c r="G289" i="4"/>
  <c r="H289" i="4"/>
  <c r="I289" i="4"/>
  <c r="J289" i="4"/>
  <c r="K289" i="4"/>
  <c r="F290" i="4"/>
  <c r="G290" i="4"/>
  <c r="H290" i="4"/>
  <c r="I290" i="4"/>
  <c r="J290" i="4"/>
  <c r="K290" i="4"/>
  <c r="F291" i="4"/>
  <c r="G291" i="4"/>
  <c r="H291" i="4"/>
  <c r="I291" i="4"/>
  <c r="J291" i="4"/>
  <c r="K291" i="4"/>
  <c r="O287" i="4"/>
  <c r="N287" i="4"/>
  <c r="M287" i="4"/>
  <c r="K287" i="4"/>
  <c r="J287" i="4"/>
  <c r="I287" i="4"/>
  <c r="H287" i="4"/>
  <c r="G287" i="4"/>
  <c r="F287" i="4"/>
  <c r="E291" i="4"/>
  <c r="E290" i="4"/>
  <c r="E289" i="4"/>
  <c r="E288" i="4"/>
  <c r="E287" i="4"/>
  <c r="M283" i="4"/>
  <c r="N283" i="4"/>
  <c r="O283" i="4"/>
  <c r="M284" i="4"/>
  <c r="N284" i="4"/>
  <c r="O284" i="4"/>
  <c r="M285" i="4"/>
  <c r="N285" i="4"/>
  <c r="O285" i="4"/>
  <c r="M286" i="4"/>
  <c r="N286" i="4"/>
  <c r="O286" i="4"/>
  <c r="O282" i="4"/>
  <c r="N282" i="4"/>
  <c r="M282" i="4"/>
  <c r="K286" i="4"/>
  <c r="J286" i="4"/>
  <c r="I286" i="4"/>
  <c r="H286" i="4"/>
  <c r="G286" i="4"/>
  <c r="F286" i="4"/>
  <c r="E286" i="4"/>
  <c r="K285" i="4"/>
  <c r="J285" i="4"/>
  <c r="I285" i="4"/>
  <c r="H285" i="4"/>
  <c r="G285" i="4"/>
  <c r="F285" i="4"/>
  <c r="E285" i="4"/>
  <c r="K284" i="4"/>
  <c r="J284" i="4"/>
  <c r="I284" i="4"/>
  <c r="H284" i="4"/>
  <c r="G284" i="4"/>
  <c r="F284" i="4"/>
  <c r="E284" i="4"/>
  <c r="K283" i="4"/>
  <c r="J283" i="4"/>
  <c r="I283" i="4"/>
  <c r="H283" i="4"/>
  <c r="G283" i="4"/>
  <c r="F283" i="4"/>
  <c r="E283" i="4"/>
  <c r="K282" i="4"/>
  <c r="J282" i="4"/>
  <c r="I282" i="4"/>
  <c r="H282" i="4"/>
  <c r="G282" i="4"/>
  <c r="F282" i="4"/>
  <c r="E282" i="4"/>
  <c r="M278" i="4"/>
  <c r="N278" i="4"/>
  <c r="O278" i="4"/>
  <c r="M279" i="4"/>
  <c r="N279" i="4"/>
  <c r="O279" i="4"/>
  <c r="M280" i="4"/>
  <c r="N280" i="4"/>
  <c r="O280" i="4"/>
  <c r="M281" i="4"/>
  <c r="N281" i="4"/>
  <c r="O281" i="4"/>
  <c r="O277" i="4"/>
  <c r="N277" i="4"/>
  <c r="M277" i="4"/>
  <c r="K281" i="4"/>
  <c r="J281" i="4"/>
  <c r="I281" i="4"/>
  <c r="H281" i="4"/>
  <c r="G281" i="4"/>
  <c r="F281" i="4"/>
  <c r="E281" i="4"/>
  <c r="K280" i="4"/>
  <c r="J280" i="4"/>
  <c r="I280" i="4"/>
  <c r="H280" i="4"/>
  <c r="G280" i="4"/>
  <c r="F280" i="4"/>
  <c r="E280" i="4"/>
  <c r="K279" i="4"/>
  <c r="J279" i="4"/>
  <c r="I279" i="4"/>
  <c r="H279" i="4"/>
  <c r="G279" i="4"/>
  <c r="F279" i="4"/>
  <c r="E279" i="4"/>
  <c r="K278" i="4"/>
  <c r="J278" i="4"/>
  <c r="I278" i="4"/>
  <c r="H278" i="4"/>
  <c r="G278" i="4"/>
  <c r="F278" i="4"/>
  <c r="E278" i="4"/>
  <c r="K277" i="4"/>
  <c r="J277" i="4"/>
  <c r="I277" i="4"/>
  <c r="H277" i="4"/>
  <c r="G277" i="4"/>
  <c r="F277" i="4"/>
  <c r="E277" i="4"/>
  <c r="O276" i="4"/>
  <c r="N276" i="4"/>
  <c r="M276" i="4"/>
  <c r="O275" i="4"/>
  <c r="N275" i="4"/>
  <c r="M275" i="4"/>
  <c r="O274" i="4"/>
  <c r="N274" i="4"/>
  <c r="M274" i="4"/>
  <c r="O273" i="4"/>
  <c r="N273" i="4"/>
  <c r="M273" i="4"/>
  <c r="O272" i="4"/>
  <c r="N272" i="4"/>
  <c r="M272" i="4"/>
  <c r="K276" i="4"/>
  <c r="J276" i="4"/>
  <c r="I276" i="4"/>
  <c r="H276" i="4"/>
  <c r="G276" i="4"/>
  <c r="F276" i="4"/>
  <c r="E276" i="4"/>
  <c r="K275" i="4"/>
  <c r="J275" i="4"/>
  <c r="I275" i="4"/>
  <c r="H275" i="4"/>
  <c r="G275" i="4"/>
  <c r="F275" i="4"/>
  <c r="E275" i="4"/>
  <c r="K274" i="4"/>
  <c r="J274" i="4"/>
  <c r="I274" i="4"/>
  <c r="H274" i="4"/>
  <c r="G274" i="4"/>
  <c r="F274" i="4"/>
  <c r="E274" i="4"/>
  <c r="K273" i="4"/>
  <c r="J273" i="4"/>
  <c r="I273" i="4"/>
  <c r="H273" i="4"/>
  <c r="G273" i="4"/>
  <c r="F273" i="4"/>
  <c r="E273" i="4"/>
  <c r="K272" i="4"/>
  <c r="J272" i="4"/>
  <c r="I272" i="4"/>
  <c r="H272" i="4"/>
  <c r="G272" i="4"/>
  <c r="F272" i="4"/>
  <c r="E272" i="4"/>
  <c r="O271" i="4"/>
  <c r="N271" i="4"/>
  <c r="M271" i="4"/>
  <c r="O270" i="4"/>
  <c r="N270" i="4"/>
  <c r="M270" i="4"/>
  <c r="O269" i="4"/>
  <c r="N269" i="4"/>
  <c r="M269" i="4"/>
  <c r="O268" i="4"/>
  <c r="N268" i="4"/>
  <c r="M268" i="4"/>
  <c r="F268" i="4"/>
  <c r="G268" i="4"/>
  <c r="H268" i="4"/>
  <c r="I268" i="4"/>
  <c r="J268" i="4"/>
  <c r="K268" i="4"/>
  <c r="F269" i="4"/>
  <c r="G269" i="4"/>
  <c r="H269" i="4"/>
  <c r="I269" i="4"/>
  <c r="J269" i="4"/>
  <c r="K269" i="4"/>
  <c r="F270" i="4"/>
  <c r="G270" i="4"/>
  <c r="H270" i="4"/>
  <c r="I270" i="4"/>
  <c r="J270" i="4"/>
  <c r="K270" i="4"/>
  <c r="F271" i="4"/>
  <c r="G271" i="4"/>
  <c r="H271" i="4"/>
  <c r="I271" i="4"/>
  <c r="J271" i="4"/>
  <c r="K271" i="4"/>
  <c r="O267" i="4"/>
  <c r="N267" i="4"/>
  <c r="M267" i="4"/>
  <c r="K267" i="4"/>
  <c r="J267" i="4"/>
  <c r="I267" i="4"/>
  <c r="H267" i="4"/>
  <c r="G267" i="4"/>
  <c r="F267" i="4"/>
  <c r="E271" i="4"/>
  <c r="E270" i="4"/>
  <c r="E269" i="4"/>
  <c r="E268" i="4"/>
  <c r="E267" i="4"/>
  <c r="M263" i="4"/>
  <c r="N263" i="4"/>
  <c r="O263" i="4"/>
  <c r="M264" i="4"/>
  <c r="N264" i="4"/>
  <c r="O264" i="4"/>
  <c r="M265" i="4"/>
  <c r="N265" i="4"/>
  <c r="O265" i="4"/>
  <c r="M266" i="4"/>
  <c r="N266" i="4"/>
  <c r="O266" i="4"/>
  <c r="O262" i="4"/>
  <c r="N262" i="4"/>
  <c r="M262" i="4"/>
  <c r="K266" i="4"/>
  <c r="J266" i="4"/>
  <c r="I266" i="4"/>
  <c r="H266" i="4"/>
  <c r="G266" i="4"/>
  <c r="F266" i="4"/>
  <c r="E266" i="4"/>
  <c r="K265" i="4"/>
  <c r="J265" i="4"/>
  <c r="I265" i="4"/>
  <c r="H265" i="4"/>
  <c r="G265" i="4"/>
  <c r="F265" i="4"/>
  <c r="E265" i="4"/>
  <c r="K264" i="4"/>
  <c r="J264" i="4"/>
  <c r="I264" i="4"/>
  <c r="H264" i="4"/>
  <c r="G264" i="4"/>
  <c r="F264" i="4"/>
  <c r="E264" i="4"/>
  <c r="K263" i="4"/>
  <c r="J263" i="4"/>
  <c r="I263" i="4"/>
  <c r="H263" i="4"/>
  <c r="G263" i="4"/>
  <c r="F263" i="4"/>
  <c r="E263" i="4"/>
  <c r="K262" i="4"/>
  <c r="J262" i="4"/>
  <c r="I262" i="4"/>
  <c r="H262" i="4"/>
  <c r="G262" i="4"/>
  <c r="F262" i="4"/>
  <c r="E262" i="4"/>
  <c r="M258" i="4"/>
  <c r="N258" i="4"/>
  <c r="O258" i="4"/>
  <c r="M259" i="4"/>
  <c r="N259" i="4"/>
  <c r="O259" i="4"/>
  <c r="M260" i="4"/>
  <c r="N260" i="4"/>
  <c r="O260" i="4"/>
  <c r="M261" i="4"/>
  <c r="N261" i="4"/>
  <c r="O261" i="4"/>
  <c r="O257" i="4"/>
  <c r="N257" i="4"/>
  <c r="M257" i="4"/>
  <c r="K261" i="4"/>
  <c r="J261" i="4"/>
  <c r="I261" i="4"/>
  <c r="H261" i="4"/>
  <c r="G261" i="4"/>
  <c r="F261" i="4"/>
  <c r="E261" i="4"/>
  <c r="K260" i="4"/>
  <c r="J260" i="4"/>
  <c r="I260" i="4"/>
  <c r="H260" i="4"/>
  <c r="G260" i="4"/>
  <c r="F260" i="4"/>
  <c r="E260" i="4"/>
  <c r="K259" i="4"/>
  <c r="J259" i="4"/>
  <c r="I259" i="4"/>
  <c r="H259" i="4"/>
  <c r="G259" i="4"/>
  <c r="F259" i="4"/>
  <c r="E259" i="4"/>
  <c r="K258" i="4"/>
  <c r="J258" i="4"/>
  <c r="I258" i="4"/>
  <c r="H258" i="4"/>
  <c r="G258" i="4"/>
  <c r="F258" i="4"/>
  <c r="E258" i="4"/>
  <c r="K257" i="4"/>
  <c r="J257" i="4"/>
  <c r="I257" i="4"/>
  <c r="H257" i="4"/>
  <c r="G257" i="4"/>
  <c r="F257" i="4"/>
  <c r="E257" i="4"/>
  <c r="M253" i="4"/>
  <c r="N253" i="4"/>
  <c r="O253" i="4"/>
  <c r="M254" i="4"/>
  <c r="N254" i="4"/>
  <c r="O254" i="4"/>
  <c r="M255" i="4"/>
  <c r="N255" i="4"/>
  <c r="O255" i="4"/>
  <c r="M256" i="4"/>
  <c r="N256" i="4"/>
  <c r="O256" i="4"/>
  <c r="O252" i="4"/>
  <c r="N252" i="4"/>
  <c r="M252" i="4"/>
  <c r="K256" i="4"/>
  <c r="J256" i="4"/>
  <c r="I256" i="4"/>
  <c r="H256" i="4"/>
  <c r="G256" i="4"/>
  <c r="F256" i="4"/>
  <c r="E256" i="4"/>
  <c r="K255" i="4"/>
  <c r="J255" i="4"/>
  <c r="I255" i="4"/>
  <c r="H255" i="4"/>
  <c r="G255" i="4"/>
  <c r="F255" i="4"/>
  <c r="E255" i="4"/>
  <c r="K254" i="4"/>
  <c r="J254" i="4"/>
  <c r="I254" i="4"/>
  <c r="H254" i="4"/>
  <c r="G254" i="4"/>
  <c r="F254" i="4"/>
  <c r="E254" i="4"/>
  <c r="K253" i="4"/>
  <c r="J253" i="4"/>
  <c r="I253" i="4"/>
  <c r="H253" i="4"/>
  <c r="G253" i="4"/>
  <c r="F253" i="4"/>
  <c r="E253" i="4"/>
  <c r="K252" i="4"/>
  <c r="J252" i="4"/>
  <c r="I252" i="4"/>
  <c r="H252" i="4"/>
  <c r="G252" i="4"/>
  <c r="F252" i="4"/>
  <c r="E252" i="4"/>
  <c r="F248" i="4"/>
  <c r="G248" i="4"/>
  <c r="H248" i="4"/>
  <c r="I248" i="4"/>
  <c r="J248" i="4"/>
  <c r="K248" i="4"/>
  <c r="F249" i="4"/>
  <c r="G249" i="4"/>
  <c r="H249" i="4"/>
  <c r="I249" i="4"/>
  <c r="J249" i="4"/>
  <c r="K249" i="4"/>
  <c r="F250" i="4"/>
  <c r="G250" i="4"/>
  <c r="H250" i="4"/>
  <c r="I250" i="4"/>
  <c r="J250" i="4"/>
  <c r="K250" i="4"/>
  <c r="F251" i="4"/>
  <c r="G251" i="4"/>
  <c r="H251" i="4"/>
  <c r="I251" i="4"/>
  <c r="J251" i="4"/>
  <c r="K251" i="4"/>
  <c r="M248" i="4"/>
  <c r="N248" i="4"/>
  <c r="O248" i="4"/>
  <c r="M249" i="4"/>
  <c r="N249" i="4"/>
  <c r="O249" i="4"/>
  <c r="M250" i="4"/>
  <c r="N250" i="4"/>
  <c r="O250" i="4"/>
  <c r="M251" i="4"/>
  <c r="N251" i="4"/>
  <c r="O251" i="4"/>
  <c r="O247" i="4"/>
  <c r="N247" i="4"/>
  <c r="M247" i="4"/>
  <c r="K247" i="4"/>
  <c r="J247" i="4"/>
  <c r="I247" i="4"/>
  <c r="H247" i="4"/>
  <c r="G247" i="4"/>
  <c r="E251" i="4"/>
  <c r="E250" i="4"/>
  <c r="E249" i="4"/>
  <c r="E248" i="4"/>
  <c r="E247" i="4"/>
  <c r="F247" i="4"/>
  <c r="M243" i="4"/>
  <c r="N243" i="4"/>
  <c r="O243" i="4"/>
  <c r="M244" i="4"/>
  <c r="N244" i="4"/>
  <c r="O244" i="4"/>
  <c r="M245" i="4"/>
  <c r="N245" i="4"/>
  <c r="O245" i="4"/>
  <c r="M246" i="4"/>
  <c r="N246" i="4"/>
  <c r="O246" i="4"/>
  <c r="O242" i="4"/>
  <c r="N242" i="4"/>
  <c r="M242" i="4"/>
  <c r="K246" i="4"/>
  <c r="J246" i="4"/>
  <c r="I246" i="4"/>
  <c r="H246" i="4"/>
  <c r="G246" i="4"/>
  <c r="F246" i="4"/>
  <c r="E246" i="4"/>
  <c r="K245" i="4"/>
  <c r="J245" i="4"/>
  <c r="I245" i="4"/>
  <c r="H245" i="4"/>
  <c r="G245" i="4"/>
  <c r="F245" i="4"/>
  <c r="E245" i="4"/>
  <c r="K244" i="4"/>
  <c r="J244" i="4"/>
  <c r="I244" i="4"/>
  <c r="H244" i="4"/>
  <c r="G244" i="4"/>
  <c r="F244" i="4"/>
  <c r="E244" i="4"/>
  <c r="K243" i="4"/>
  <c r="J243" i="4"/>
  <c r="I243" i="4"/>
  <c r="H243" i="4"/>
  <c r="G243" i="4"/>
  <c r="F243" i="4"/>
  <c r="E243" i="4"/>
  <c r="K242" i="4"/>
  <c r="J242" i="4"/>
  <c r="I242" i="4"/>
  <c r="H242" i="4"/>
  <c r="G242" i="4"/>
  <c r="F242" i="4"/>
  <c r="E242" i="4"/>
  <c r="M238" i="4"/>
  <c r="N238" i="4"/>
  <c r="O238" i="4"/>
  <c r="M239" i="4"/>
  <c r="N239" i="4"/>
  <c r="O239" i="4"/>
  <c r="M240" i="4"/>
  <c r="N240" i="4"/>
  <c r="O240" i="4"/>
  <c r="M241" i="4"/>
  <c r="N241" i="4"/>
  <c r="O241" i="4"/>
  <c r="O237" i="4"/>
  <c r="N237" i="4"/>
  <c r="M237" i="4"/>
  <c r="K241" i="4"/>
  <c r="J241" i="4"/>
  <c r="I241" i="4"/>
  <c r="H241" i="4"/>
  <c r="G241" i="4"/>
  <c r="F241" i="4"/>
  <c r="E241" i="4"/>
  <c r="K240" i="4"/>
  <c r="J240" i="4"/>
  <c r="I240" i="4"/>
  <c r="H240" i="4"/>
  <c r="G240" i="4"/>
  <c r="F240" i="4"/>
  <c r="E240" i="4"/>
  <c r="K239" i="4"/>
  <c r="J239" i="4"/>
  <c r="I239" i="4"/>
  <c r="H239" i="4"/>
  <c r="G239" i="4"/>
  <c r="F239" i="4"/>
  <c r="E239" i="4"/>
  <c r="K238" i="4"/>
  <c r="J238" i="4"/>
  <c r="I238" i="4"/>
  <c r="H238" i="4"/>
  <c r="G238" i="4"/>
  <c r="F238" i="4"/>
  <c r="E238" i="4"/>
  <c r="K237" i="4"/>
  <c r="J237" i="4"/>
  <c r="I237" i="4"/>
  <c r="H237" i="4"/>
  <c r="G237" i="4"/>
  <c r="F237" i="4"/>
  <c r="E237" i="4"/>
  <c r="M233" i="4"/>
  <c r="N233" i="4"/>
  <c r="O233" i="4"/>
  <c r="M234" i="4"/>
  <c r="N234" i="4"/>
  <c r="O234" i="4"/>
  <c r="M235" i="4"/>
  <c r="N235" i="4"/>
  <c r="O235" i="4"/>
  <c r="M236" i="4"/>
  <c r="N236" i="4"/>
  <c r="O236" i="4"/>
  <c r="O232" i="4"/>
  <c r="N232" i="4"/>
  <c r="M232" i="4"/>
  <c r="K236" i="4"/>
  <c r="J236" i="4"/>
  <c r="I236" i="4"/>
  <c r="H236" i="4"/>
  <c r="G236" i="4"/>
  <c r="F236" i="4"/>
  <c r="E236" i="4"/>
  <c r="K235" i="4"/>
  <c r="J235" i="4"/>
  <c r="I235" i="4"/>
  <c r="H235" i="4"/>
  <c r="G235" i="4"/>
  <c r="F235" i="4"/>
  <c r="E235" i="4"/>
  <c r="K234" i="4"/>
  <c r="J234" i="4"/>
  <c r="I234" i="4"/>
  <c r="H234" i="4"/>
  <c r="G234" i="4"/>
  <c r="F234" i="4"/>
  <c r="E234" i="4"/>
  <c r="K233" i="4"/>
  <c r="J233" i="4"/>
  <c r="I233" i="4"/>
  <c r="H233" i="4"/>
  <c r="G233" i="4"/>
  <c r="F233" i="4"/>
  <c r="E233" i="4"/>
  <c r="K232" i="4"/>
  <c r="J232" i="4"/>
  <c r="I232" i="4"/>
  <c r="H232" i="4"/>
  <c r="G232" i="4"/>
  <c r="F232" i="4"/>
  <c r="E232" i="4"/>
  <c r="F228" i="4"/>
  <c r="G228" i="4"/>
  <c r="H228" i="4"/>
  <c r="I228" i="4"/>
  <c r="J228" i="4"/>
  <c r="K228" i="4"/>
  <c r="F229" i="4"/>
  <c r="G229" i="4"/>
  <c r="H229" i="4"/>
  <c r="I229" i="4"/>
  <c r="J229" i="4"/>
  <c r="K229" i="4"/>
  <c r="F230" i="4"/>
  <c r="G230" i="4"/>
  <c r="H230" i="4"/>
  <c r="I230" i="4"/>
  <c r="J230" i="4"/>
  <c r="K230" i="4"/>
  <c r="F231" i="4"/>
  <c r="G231" i="4"/>
  <c r="H231" i="4"/>
  <c r="I231" i="4"/>
  <c r="J231" i="4"/>
  <c r="K231" i="4"/>
  <c r="M228" i="4"/>
  <c r="N228" i="4"/>
  <c r="O228" i="4"/>
  <c r="M229" i="4"/>
  <c r="N229" i="4"/>
  <c r="O229" i="4"/>
  <c r="M230" i="4"/>
  <c r="N230" i="4"/>
  <c r="O230" i="4"/>
  <c r="M231" i="4"/>
  <c r="N231" i="4"/>
  <c r="O231" i="4"/>
  <c r="O227" i="4"/>
  <c r="N227" i="4"/>
  <c r="M227" i="4"/>
  <c r="K227" i="4"/>
  <c r="J227" i="4"/>
  <c r="I227" i="4"/>
  <c r="H227" i="4"/>
  <c r="G227" i="4"/>
  <c r="F227" i="4"/>
  <c r="E231" i="4"/>
  <c r="E230" i="4"/>
  <c r="E229" i="4"/>
  <c r="E228" i="4"/>
  <c r="E227" i="4"/>
  <c r="M223" i="4"/>
  <c r="N223" i="4"/>
  <c r="O223" i="4"/>
  <c r="M224" i="4"/>
  <c r="N224" i="4"/>
  <c r="O224" i="4"/>
  <c r="M225" i="4"/>
  <c r="N225" i="4"/>
  <c r="O225" i="4"/>
  <c r="M226" i="4"/>
  <c r="N226" i="4"/>
  <c r="O226" i="4"/>
  <c r="O222" i="4"/>
  <c r="N222" i="4"/>
  <c r="M222" i="4"/>
  <c r="K226" i="4"/>
  <c r="J226" i="4"/>
  <c r="I226" i="4"/>
  <c r="H226" i="4"/>
  <c r="G226" i="4"/>
  <c r="F226" i="4"/>
  <c r="E226" i="4"/>
  <c r="K225" i="4"/>
  <c r="J225" i="4"/>
  <c r="I225" i="4"/>
  <c r="H225" i="4"/>
  <c r="G225" i="4"/>
  <c r="F225" i="4"/>
  <c r="E225" i="4"/>
  <c r="K224" i="4"/>
  <c r="J224" i="4"/>
  <c r="I224" i="4"/>
  <c r="H224" i="4"/>
  <c r="G224" i="4"/>
  <c r="F224" i="4"/>
  <c r="E224" i="4"/>
  <c r="K223" i="4"/>
  <c r="J223" i="4"/>
  <c r="I223" i="4"/>
  <c r="H223" i="4"/>
  <c r="G223" i="4"/>
  <c r="F223" i="4"/>
  <c r="E223" i="4"/>
  <c r="K222" i="4"/>
  <c r="J222" i="4"/>
  <c r="I222" i="4"/>
  <c r="H222" i="4"/>
  <c r="G222" i="4"/>
  <c r="F222" i="4"/>
  <c r="E222" i="4"/>
  <c r="M218" i="4"/>
  <c r="N218" i="4"/>
  <c r="O218" i="4"/>
  <c r="M219" i="4"/>
  <c r="N219" i="4"/>
  <c r="O219" i="4"/>
  <c r="M220" i="4"/>
  <c r="N220" i="4"/>
  <c r="O220" i="4"/>
  <c r="M221" i="4"/>
  <c r="N221" i="4"/>
  <c r="O221" i="4"/>
  <c r="O217" i="4"/>
  <c r="N217" i="4"/>
  <c r="M217" i="4"/>
  <c r="K221" i="4"/>
  <c r="J221" i="4"/>
  <c r="I221" i="4"/>
  <c r="H221" i="4"/>
  <c r="G221" i="4"/>
  <c r="F221" i="4"/>
  <c r="E221" i="4"/>
  <c r="K220" i="4"/>
  <c r="J220" i="4"/>
  <c r="I220" i="4"/>
  <c r="H220" i="4"/>
  <c r="G220" i="4"/>
  <c r="F220" i="4"/>
  <c r="E220" i="4"/>
  <c r="K219" i="4"/>
  <c r="J219" i="4"/>
  <c r="I219" i="4"/>
  <c r="H219" i="4"/>
  <c r="G219" i="4"/>
  <c r="F219" i="4"/>
  <c r="E219" i="4"/>
  <c r="K218" i="4"/>
  <c r="J218" i="4"/>
  <c r="I218" i="4"/>
  <c r="H218" i="4"/>
  <c r="G218" i="4"/>
  <c r="F218" i="4"/>
  <c r="E218" i="4"/>
  <c r="K217" i="4"/>
  <c r="J217" i="4"/>
  <c r="I217" i="4"/>
  <c r="H217" i="4"/>
  <c r="G217" i="4"/>
  <c r="F217" i="4"/>
  <c r="E217" i="4"/>
  <c r="M213" i="4"/>
  <c r="N213" i="4"/>
  <c r="O213" i="4"/>
  <c r="M214" i="4"/>
  <c r="N214" i="4"/>
  <c r="O214" i="4"/>
  <c r="M215" i="4"/>
  <c r="N215" i="4"/>
  <c r="O215" i="4"/>
  <c r="M216" i="4"/>
  <c r="N216" i="4"/>
  <c r="O216" i="4"/>
  <c r="O212" i="4"/>
  <c r="N212" i="4"/>
  <c r="M212" i="4"/>
  <c r="K216" i="4"/>
  <c r="J216" i="4"/>
  <c r="I216" i="4"/>
  <c r="H216" i="4"/>
  <c r="G216" i="4"/>
  <c r="F216" i="4"/>
  <c r="E216" i="4"/>
  <c r="K215" i="4"/>
  <c r="J215" i="4"/>
  <c r="I215" i="4"/>
  <c r="H215" i="4"/>
  <c r="G215" i="4"/>
  <c r="F215" i="4"/>
  <c r="E215" i="4"/>
  <c r="K214" i="4"/>
  <c r="J214" i="4"/>
  <c r="I214" i="4"/>
  <c r="H214" i="4"/>
  <c r="G214" i="4"/>
  <c r="F214" i="4"/>
  <c r="E214" i="4"/>
  <c r="K213" i="4"/>
  <c r="J213" i="4"/>
  <c r="I213" i="4"/>
  <c r="H213" i="4"/>
  <c r="G213" i="4"/>
  <c r="F213" i="4"/>
  <c r="E213" i="4"/>
  <c r="K212" i="4"/>
  <c r="J212" i="4"/>
  <c r="I212" i="4"/>
  <c r="H212" i="4"/>
  <c r="G212" i="4"/>
  <c r="F212" i="4"/>
  <c r="E212" i="4"/>
  <c r="M208" i="4"/>
  <c r="N208" i="4"/>
  <c r="O208" i="4"/>
  <c r="M209" i="4"/>
  <c r="N209" i="4"/>
  <c r="O209" i="4"/>
  <c r="M210" i="4"/>
  <c r="N210" i="4"/>
  <c r="O210" i="4"/>
  <c r="M211" i="4"/>
  <c r="N211" i="4"/>
  <c r="O211" i="4"/>
  <c r="F208" i="4"/>
  <c r="G208" i="4"/>
  <c r="H208" i="4"/>
  <c r="I208" i="4"/>
  <c r="J208" i="4"/>
  <c r="K208" i="4"/>
  <c r="F209" i="4"/>
  <c r="G209" i="4"/>
  <c r="H209" i="4"/>
  <c r="I209" i="4"/>
  <c r="J209" i="4"/>
  <c r="K209" i="4"/>
  <c r="F210" i="4"/>
  <c r="G210" i="4"/>
  <c r="H210" i="4"/>
  <c r="I210" i="4"/>
  <c r="J210" i="4"/>
  <c r="K210" i="4"/>
  <c r="F211" i="4"/>
  <c r="G211" i="4"/>
  <c r="H211" i="4"/>
  <c r="I211" i="4"/>
  <c r="J211" i="4"/>
  <c r="K211" i="4"/>
  <c r="O207" i="4"/>
  <c r="N207" i="4"/>
  <c r="M207" i="4"/>
  <c r="K207" i="4"/>
  <c r="J207" i="4"/>
  <c r="I207" i="4"/>
  <c r="H207" i="4"/>
  <c r="G207" i="4"/>
  <c r="F207" i="4"/>
  <c r="E211" i="4"/>
  <c r="E210" i="4"/>
  <c r="E209" i="4"/>
  <c r="E208" i="4"/>
  <c r="E207" i="4"/>
  <c r="M203" i="4"/>
  <c r="N203" i="4"/>
  <c r="O203" i="4"/>
  <c r="M204" i="4"/>
  <c r="N204" i="4"/>
  <c r="O204" i="4"/>
  <c r="M205" i="4"/>
  <c r="N205" i="4"/>
  <c r="O205" i="4"/>
  <c r="M206" i="4"/>
  <c r="N206" i="4"/>
  <c r="O206" i="4"/>
  <c r="O202" i="4"/>
  <c r="N202" i="4"/>
  <c r="M202" i="4"/>
  <c r="K206" i="4"/>
  <c r="J206" i="4"/>
  <c r="I206" i="4"/>
  <c r="H206" i="4"/>
  <c r="G206" i="4"/>
  <c r="F206" i="4"/>
  <c r="E206" i="4"/>
  <c r="K205" i="4"/>
  <c r="J205" i="4"/>
  <c r="I205" i="4"/>
  <c r="H205" i="4"/>
  <c r="G205" i="4"/>
  <c r="F205" i="4"/>
  <c r="E205" i="4"/>
  <c r="K204" i="4"/>
  <c r="J204" i="4"/>
  <c r="I204" i="4"/>
  <c r="H204" i="4"/>
  <c r="G204" i="4"/>
  <c r="F204" i="4"/>
  <c r="E204" i="4"/>
  <c r="K203" i="4"/>
  <c r="J203" i="4"/>
  <c r="I203" i="4"/>
  <c r="H203" i="4"/>
  <c r="G203" i="4"/>
  <c r="F203" i="4"/>
  <c r="E203" i="4"/>
  <c r="K202" i="4"/>
  <c r="J202" i="4"/>
  <c r="I202" i="4"/>
  <c r="H202" i="4"/>
  <c r="G202" i="4"/>
  <c r="F202" i="4"/>
  <c r="E202" i="4"/>
  <c r="M198" i="4"/>
  <c r="N198" i="4"/>
  <c r="O198" i="4"/>
  <c r="M199" i="4"/>
  <c r="N199" i="4"/>
  <c r="O199" i="4"/>
  <c r="M200" i="4"/>
  <c r="N200" i="4"/>
  <c r="O200" i="4"/>
  <c r="M201" i="4"/>
  <c r="N201" i="4"/>
  <c r="O201" i="4"/>
  <c r="O197" i="4"/>
  <c r="N197" i="4"/>
  <c r="M197" i="4"/>
  <c r="K201" i="4"/>
  <c r="J201" i="4"/>
  <c r="I201" i="4"/>
  <c r="H201" i="4"/>
  <c r="G201" i="4"/>
  <c r="F201" i="4"/>
  <c r="E201" i="4"/>
  <c r="K200" i="4"/>
  <c r="J200" i="4"/>
  <c r="I200" i="4"/>
  <c r="H200" i="4"/>
  <c r="G200" i="4"/>
  <c r="F200" i="4"/>
  <c r="E200" i="4"/>
  <c r="K199" i="4"/>
  <c r="J199" i="4"/>
  <c r="I199" i="4"/>
  <c r="H199" i="4"/>
  <c r="G199" i="4"/>
  <c r="F199" i="4"/>
  <c r="E199" i="4"/>
  <c r="K198" i="4"/>
  <c r="J198" i="4"/>
  <c r="I198" i="4"/>
  <c r="H198" i="4"/>
  <c r="G198" i="4"/>
  <c r="F198" i="4"/>
  <c r="E198" i="4"/>
  <c r="K197" i="4"/>
  <c r="J197" i="4"/>
  <c r="I197" i="4"/>
  <c r="H197" i="4"/>
  <c r="G197" i="4"/>
  <c r="F197" i="4"/>
  <c r="E197" i="4"/>
  <c r="M193" i="4"/>
  <c r="N193" i="4"/>
  <c r="O193" i="4"/>
  <c r="M194" i="4"/>
  <c r="N194" i="4"/>
  <c r="O194" i="4"/>
  <c r="M195" i="4"/>
  <c r="N195" i="4"/>
  <c r="O195" i="4"/>
  <c r="M196" i="4"/>
  <c r="N196" i="4"/>
  <c r="O196" i="4"/>
  <c r="O192" i="4"/>
  <c r="N192" i="4"/>
  <c r="M192" i="4"/>
  <c r="K196" i="4"/>
  <c r="J196" i="4"/>
  <c r="I196" i="4"/>
  <c r="H196" i="4"/>
  <c r="G196" i="4"/>
  <c r="F196" i="4"/>
  <c r="E196" i="4"/>
  <c r="K195" i="4"/>
  <c r="J195" i="4"/>
  <c r="I195" i="4"/>
  <c r="H195" i="4"/>
  <c r="G195" i="4"/>
  <c r="F195" i="4"/>
  <c r="E195" i="4"/>
  <c r="K194" i="4"/>
  <c r="J194" i="4"/>
  <c r="I194" i="4"/>
  <c r="H194" i="4"/>
  <c r="G194" i="4"/>
  <c r="F194" i="4"/>
  <c r="E194" i="4"/>
  <c r="K193" i="4"/>
  <c r="J193" i="4"/>
  <c r="I193" i="4"/>
  <c r="H193" i="4"/>
  <c r="G193" i="4"/>
  <c r="F193" i="4"/>
  <c r="E193" i="4"/>
  <c r="K192" i="4"/>
  <c r="J192" i="4"/>
  <c r="I192" i="4"/>
  <c r="H192" i="4"/>
  <c r="G192" i="4"/>
  <c r="F192" i="4"/>
  <c r="E192" i="4"/>
  <c r="F188" i="4"/>
  <c r="G188" i="4"/>
  <c r="H188" i="4"/>
  <c r="I188" i="4"/>
  <c r="J188" i="4"/>
  <c r="K188" i="4"/>
  <c r="F189" i="4"/>
  <c r="G189" i="4"/>
  <c r="H189" i="4"/>
  <c r="I189" i="4"/>
  <c r="J189" i="4"/>
  <c r="K189" i="4"/>
  <c r="F190" i="4"/>
  <c r="G190" i="4"/>
  <c r="H190" i="4"/>
  <c r="I190" i="4"/>
  <c r="J190" i="4"/>
  <c r="K190" i="4"/>
  <c r="F191" i="4"/>
  <c r="G191" i="4"/>
  <c r="H191" i="4"/>
  <c r="I191" i="4"/>
  <c r="J191" i="4"/>
  <c r="K191" i="4"/>
  <c r="M188" i="4"/>
  <c r="N188" i="4"/>
  <c r="O188" i="4"/>
  <c r="M189" i="4"/>
  <c r="N189" i="4"/>
  <c r="O189" i="4"/>
  <c r="M190" i="4"/>
  <c r="N190" i="4"/>
  <c r="O190" i="4"/>
  <c r="M191" i="4"/>
  <c r="N191" i="4"/>
  <c r="O191" i="4"/>
  <c r="O187" i="4"/>
  <c r="N187" i="4"/>
  <c r="M187" i="4"/>
  <c r="K187" i="4"/>
  <c r="J187" i="4"/>
  <c r="I187" i="4"/>
  <c r="H187" i="4"/>
  <c r="G187" i="4"/>
  <c r="F187" i="4"/>
  <c r="E191" i="4"/>
  <c r="E190" i="4"/>
  <c r="E189" i="4"/>
  <c r="E188" i="4"/>
  <c r="E187" i="4"/>
  <c r="K26" i="4"/>
  <c r="K25" i="4"/>
  <c r="K24" i="4"/>
  <c r="K23" i="4"/>
  <c r="J26" i="4"/>
  <c r="J25" i="4"/>
  <c r="J24" i="4"/>
  <c r="J23" i="4"/>
  <c r="K22" i="4"/>
  <c r="M23" i="4"/>
  <c r="N23" i="4"/>
  <c r="O23" i="4"/>
  <c r="M24" i="4"/>
  <c r="N24" i="4"/>
  <c r="O24" i="4"/>
  <c r="M25" i="4"/>
  <c r="N25" i="4"/>
  <c r="O25" i="4"/>
  <c r="M26" i="4"/>
  <c r="N26" i="4"/>
  <c r="O26" i="4"/>
  <c r="O22" i="4"/>
  <c r="N22" i="4"/>
  <c r="M22" i="4"/>
  <c r="M182" i="4"/>
  <c r="K186" i="4"/>
  <c r="H186" i="4"/>
  <c r="G186" i="4"/>
  <c r="E186" i="4"/>
  <c r="G185" i="4"/>
  <c r="E185" i="4"/>
  <c r="H184" i="4"/>
  <c r="G184" i="4"/>
  <c r="F184" i="4"/>
  <c r="E184" i="4"/>
  <c r="G183" i="4"/>
  <c r="E183" i="4"/>
  <c r="H182" i="4"/>
  <c r="G182" i="4"/>
  <c r="F182" i="4"/>
  <c r="E182" i="4"/>
  <c r="M178" i="4"/>
  <c r="M179" i="4"/>
  <c r="M180" i="4"/>
  <c r="M181" i="4"/>
  <c r="G181" i="4"/>
  <c r="F181" i="4"/>
  <c r="E181" i="4"/>
  <c r="K180" i="4"/>
  <c r="H180" i="4"/>
  <c r="G180" i="4"/>
  <c r="F180" i="4"/>
  <c r="E180" i="4"/>
  <c r="K179" i="4"/>
  <c r="G179" i="4"/>
  <c r="F179" i="4"/>
  <c r="E179" i="4"/>
  <c r="K178" i="4"/>
  <c r="G178" i="4"/>
  <c r="F178" i="4"/>
  <c r="E178" i="4"/>
  <c r="K177" i="4"/>
  <c r="G177" i="4"/>
  <c r="F177" i="4"/>
  <c r="E177" i="4"/>
  <c r="M172" i="4"/>
  <c r="K176" i="4"/>
  <c r="H176" i="4"/>
  <c r="G176" i="4"/>
  <c r="E176" i="4"/>
  <c r="G175" i="4"/>
  <c r="E175" i="4"/>
  <c r="G174" i="4"/>
  <c r="F174" i="4"/>
  <c r="E174" i="4"/>
  <c r="K173" i="4"/>
  <c r="H173" i="4"/>
  <c r="G173" i="4"/>
  <c r="E173" i="4"/>
  <c r="H172" i="4"/>
  <c r="G172" i="4"/>
  <c r="F172" i="4"/>
  <c r="E172" i="4"/>
  <c r="M158" i="4"/>
  <c r="M159" i="4"/>
  <c r="M160" i="4"/>
  <c r="M161" i="4"/>
  <c r="J161" i="4"/>
  <c r="G161" i="4"/>
  <c r="F161" i="4"/>
  <c r="E161" i="4"/>
  <c r="K160" i="4"/>
  <c r="J160" i="4"/>
  <c r="H160" i="4"/>
  <c r="G160" i="4"/>
  <c r="F160" i="4"/>
  <c r="E160" i="4"/>
  <c r="K159" i="4"/>
  <c r="G159" i="4"/>
  <c r="F159" i="4"/>
  <c r="E159" i="4"/>
  <c r="G158" i="4"/>
  <c r="F158" i="4"/>
  <c r="E158" i="4"/>
  <c r="K157" i="4"/>
  <c r="J157" i="4"/>
  <c r="H157" i="4"/>
  <c r="G157" i="4"/>
  <c r="F157" i="4"/>
  <c r="E157" i="4"/>
  <c r="G171" i="4"/>
  <c r="F171" i="4"/>
  <c r="K170" i="4"/>
  <c r="G170" i="4"/>
  <c r="F170" i="4"/>
  <c r="K169" i="4"/>
  <c r="I169" i="4"/>
  <c r="G169" i="4"/>
  <c r="F169" i="4"/>
  <c r="K168" i="4"/>
  <c r="G168" i="4"/>
  <c r="F168" i="4"/>
  <c r="M168" i="4"/>
  <c r="M169" i="4"/>
  <c r="M170" i="4"/>
  <c r="M171" i="4"/>
  <c r="M167" i="4"/>
  <c r="K167" i="4"/>
  <c r="G167" i="4"/>
  <c r="F167" i="4"/>
  <c r="E171" i="4"/>
  <c r="E170" i="4"/>
  <c r="E169" i="4"/>
  <c r="E168" i="4"/>
  <c r="E167" i="4"/>
  <c r="M163" i="4"/>
  <c r="M164" i="4"/>
  <c r="M165" i="4"/>
  <c r="M166" i="4"/>
  <c r="J166" i="4"/>
  <c r="G166" i="4"/>
  <c r="F166" i="4"/>
  <c r="E166" i="4"/>
  <c r="J165" i="4"/>
  <c r="H165" i="4"/>
  <c r="G165" i="4"/>
  <c r="F165" i="4"/>
  <c r="E165" i="4"/>
  <c r="K164" i="4"/>
  <c r="G164" i="4"/>
  <c r="F164" i="4"/>
  <c r="E164" i="4"/>
  <c r="K163" i="4"/>
  <c r="G163" i="4"/>
  <c r="F163" i="4"/>
  <c r="E163" i="4"/>
  <c r="K162" i="4"/>
  <c r="J162" i="4"/>
  <c r="H162" i="4"/>
  <c r="G162" i="4"/>
  <c r="F162" i="4"/>
  <c r="E162" i="4"/>
  <c r="M152" i="4"/>
  <c r="K156" i="4"/>
  <c r="J156" i="4"/>
  <c r="H156" i="4"/>
  <c r="G156" i="4"/>
  <c r="E156" i="4"/>
  <c r="J155" i="4"/>
  <c r="G155" i="4"/>
  <c r="E155" i="4"/>
  <c r="J154" i="4"/>
  <c r="G154" i="4"/>
  <c r="F154" i="4"/>
  <c r="E154" i="4"/>
  <c r="K153" i="4"/>
  <c r="J153" i="4"/>
  <c r="H153" i="4"/>
  <c r="G153" i="4"/>
  <c r="E153" i="4"/>
  <c r="J152" i="4"/>
  <c r="H152" i="4"/>
  <c r="G152" i="4"/>
  <c r="E152" i="4"/>
  <c r="F148" i="4"/>
  <c r="G148" i="4"/>
  <c r="H148" i="4"/>
  <c r="J148" i="4"/>
  <c r="K148" i="4"/>
  <c r="F149" i="4"/>
  <c r="G149" i="4"/>
  <c r="G150" i="4"/>
  <c r="J150" i="4"/>
  <c r="G151" i="4"/>
  <c r="H151" i="4"/>
  <c r="J151" i="4"/>
  <c r="K151" i="4"/>
  <c r="K147" i="4"/>
  <c r="J147" i="4"/>
  <c r="H147" i="4"/>
  <c r="G147" i="4"/>
  <c r="F147" i="4"/>
  <c r="E151" i="4"/>
  <c r="E150" i="4"/>
  <c r="E149" i="4"/>
  <c r="E148" i="4"/>
  <c r="E147" i="4"/>
  <c r="M148" i="4"/>
  <c r="M149" i="4"/>
  <c r="M150" i="4"/>
  <c r="M151" i="4"/>
  <c r="M147" i="4"/>
  <c r="M145" i="4"/>
  <c r="H146" i="4"/>
  <c r="G146" i="4"/>
  <c r="E146" i="4"/>
  <c r="G145" i="4"/>
  <c r="E145" i="4"/>
  <c r="H144" i="4"/>
  <c r="G144" i="4"/>
  <c r="F144" i="4"/>
  <c r="E144" i="4"/>
  <c r="K143" i="4"/>
  <c r="H143" i="4"/>
  <c r="G143" i="4"/>
  <c r="E143" i="4"/>
  <c r="G142" i="4"/>
  <c r="E142" i="4"/>
  <c r="M138" i="4"/>
  <c r="M139" i="4"/>
  <c r="M140" i="4"/>
  <c r="M141" i="4"/>
  <c r="N133" i="4"/>
  <c r="N134" i="4"/>
  <c r="M135" i="4"/>
  <c r="N135" i="4"/>
  <c r="N136" i="4"/>
  <c r="N132" i="4"/>
  <c r="M132" i="4"/>
  <c r="G141" i="4"/>
  <c r="F141" i="4"/>
  <c r="E141" i="4"/>
  <c r="H140" i="4"/>
  <c r="G140" i="4"/>
  <c r="F140" i="4"/>
  <c r="E140" i="4"/>
  <c r="K139" i="4"/>
  <c r="H139" i="4"/>
  <c r="G139" i="4"/>
  <c r="F139" i="4"/>
  <c r="E139" i="4"/>
  <c r="G138" i="4"/>
  <c r="F138" i="4"/>
  <c r="E138" i="4"/>
  <c r="H137" i="4"/>
  <c r="G137" i="4"/>
  <c r="F137" i="4"/>
  <c r="E137" i="4"/>
  <c r="K136" i="4"/>
  <c r="H136" i="4"/>
  <c r="G136" i="4"/>
  <c r="E136" i="4"/>
  <c r="G135" i="4"/>
  <c r="E135" i="4"/>
  <c r="H134" i="4"/>
  <c r="G134" i="4"/>
  <c r="F134" i="4"/>
  <c r="E134" i="4"/>
  <c r="K133" i="4"/>
  <c r="H133" i="4"/>
  <c r="G133" i="4"/>
  <c r="E133" i="4"/>
  <c r="H132" i="4"/>
  <c r="G132" i="4"/>
  <c r="E132" i="4"/>
  <c r="M128" i="4"/>
  <c r="M129" i="4"/>
  <c r="M130" i="4"/>
  <c r="M131" i="4"/>
  <c r="M127" i="4"/>
  <c r="K129" i="4"/>
  <c r="H130" i="4"/>
  <c r="K130" i="4"/>
  <c r="H131" i="4"/>
  <c r="F128" i="4"/>
  <c r="G128" i="4"/>
  <c r="G129" i="4"/>
  <c r="F130" i="4"/>
  <c r="G130" i="4"/>
  <c r="F131" i="4"/>
  <c r="G131" i="4"/>
  <c r="G127" i="4"/>
  <c r="F127" i="4"/>
  <c r="E131" i="4"/>
  <c r="E130" i="4"/>
  <c r="E129" i="4"/>
  <c r="E128" i="4"/>
  <c r="E127" i="4"/>
  <c r="H126" i="4"/>
  <c r="G126" i="4"/>
  <c r="E126" i="4"/>
  <c r="G125" i="4"/>
  <c r="E125" i="4"/>
  <c r="H124" i="4"/>
  <c r="G124" i="4"/>
  <c r="F124" i="4"/>
  <c r="E124" i="4"/>
  <c r="H123" i="4"/>
  <c r="G123" i="4"/>
  <c r="E123" i="4"/>
  <c r="H122" i="4"/>
  <c r="G122" i="4"/>
  <c r="E122" i="4"/>
  <c r="G121" i="4"/>
  <c r="F121" i="4"/>
  <c r="E121" i="4"/>
  <c r="H120" i="4"/>
  <c r="G120" i="4"/>
  <c r="F120" i="4"/>
  <c r="E120" i="4"/>
  <c r="G119" i="4"/>
  <c r="E119" i="4"/>
  <c r="G118" i="4"/>
  <c r="F118" i="4"/>
  <c r="E118" i="4"/>
  <c r="H117" i="4"/>
  <c r="G117" i="4"/>
  <c r="F117" i="4"/>
  <c r="E117" i="4"/>
  <c r="M115" i="4"/>
  <c r="M112" i="4"/>
  <c r="G116" i="4"/>
  <c r="E116" i="4"/>
  <c r="G115" i="4"/>
  <c r="E115" i="4"/>
  <c r="H114" i="4"/>
  <c r="G114" i="4"/>
  <c r="F114" i="4"/>
  <c r="E114" i="4"/>
  <c r="H113" i="4"/>
  <c r="G113" i="4"/>
  <c r="E113" i="4"/>
  <c r="H112" i="4"/>
  <c r="G112" i="4"/>
  <c r="E112" i="4"/>
  <c r="M108" i="4"/>
  <c r="M109" i="4"/>
  <c r="M110" i="4"/>
  <c r="M111" i="4"/>
  <c r="H109" i="4"/>
  <c r="H110" i="4"/>
  <c r="H111" i="4"/>
  <c r="G108" i="4"/>
  <c r="G109" i="4"/>
  <c r="G110" i="4"/>
  <c r="G111" i="4"/>
  <c r="M107" i="4"/>
  <c r="H107" i="4"/>
  <c r="G107" i="4"/>
  <c r="F107" i="4"/>
  <c r="E111" i="4"/>
  <c r="E110" i="4"/>
  <c r="E109" i="4"/>
  <c r="E108" i="4"/>
  <c r="E107" i="4"/>
  <c r="G106" i="4"/>
  <c r="E106" i="4"/>
  <c r="G105" i="4"/>
  <c r="E105" i="4"/>
  <c r="G104" i="4"/>
  <c r="E104" i="4"/>
  <c r="G103" i="4"/>
  <c r="E103" i="4"/>
  <c r="G102" i="4"/>
  <c r="E102" i="4"/>
  <c r="G101" i="4"/>
  <c r="E101" i="4"/>
  <c r="G100" i="4"/>
  <c r="E100" i="4"/>
  <c r="G99" i="4"/>
  <c r="E99" i="4"/>
  <c r="G98" i="4"/>
  <c r="E98" i="4"/>
  <c r="G97" i="4"/>
  <c r="E97" i="4"/>
  <c r="E92" i="4"/>
  <c r="G92" i="4"/>
  <c r="E93" i="4"/>
  <c r="G93" i="4"/>
  <c r="E94" i="4"/>
  <c r="G94" i="4"/>
  <c r="E95" i="4"/>
  <c r="G95" i="4"/>
  <c r="E96" i="4"/>
  <c r="G96" i="4"/>
  <c r="M88" i="4"/>
  <c r="M89" i="4"/>
  <c r="M90" i="4"/>
  <c r="M91" i="4"/>
  <c r="M87" i="4"/>
  <c r="G88" i="4"/>
  <c r="G89" i="4"/>
  <c r="G90" i="4"/>
  <c r="G91" i="4"/>
  <c r="G87" i="4"/>
  <c r="E91" i="4"/>
  <c r="E90" i="4"/>
  <c r="E89" i="4"/>
  <c r="E88" i="4"/>
  <c r="E87" i="4"/>
  <c r="E82" i="4"/>
  <c r="G82" i="4"/>
  <c r="E83" i="4"/>
  <c r="G83" i="4"/>
  <c r="E84" i="4"/>
  <c r="G84" i="4"/>
  <c r="E85" i="4"/>
  <c r="G85" i="4"/>
  <c r="E86" i="4"/>
  <c r="G86" i="4"/>
  <c r="E77" i="4"/>
  <c r="G77" i="4"/>
  <c r="E78" i="4"/>
  <c r="G78" i="4"/>
  <c r="E79" i="4"/>
  <c r="G79" i="4"/>
  <c r="E80" i="4"/>
  <c r="G80" i="4"/>
  <c r="E81" i="4"/>
  <c r="G81" i="4"/>
  <c r="E72" i="4"/>
  <c r="G72" i="4"/>
  <c r="E73" i="4"/>
  <c r="G73" i="4"/>
  <c r="E74" i="4"/>
  <c r="G74" i="4"/>
  <c r="E75" i="4"/>
  <c r="G75" i="4"/>
  <c r="E76" i="4"/>
  <c r="G76" i="4"/>
  <c r="M68" i="4"/>
  <c r="M69" i="4"/>
  <c r="M70" i="4"/>
  <c r="M71" i="4"/>
  <c r="M67" i="4"/>
  <c r="G68" i="4"/>
  <c r="G69" i="4"/>
  <c r="G70" i="4"/>
  <c r="G71" i="4"/>
  <c r="G67" i="4"/>
  <c r="E71" i="4"/>
  <c r="E70" i="4"/>
  <c r="E69" i="4"/>
  <c r="E68" i="4"/>
  <c r="E67" i="4"/>
  <c r="G66" i="4"/>
  <c r="E66" i="4"/>
  <c r="H65" i="4"/>
  <c r="G65" i="4"/>
  <c r="E65" i="4"/>
  <c r="H64" i="4"/>
  <c r="G64" i="4"/>
  <c r="E64" i="4"/>
  <c r="G63" i="4"/>
  <c r="E63" i="4"/>
  <c r="G62" i="4"/>
  <c r="E62" i="4"/>
  <c r="G61" i="4"/>
  <c r="E61" i="4"/>
  <c r="G60" i="4"/>
  <c r="E60" i="4"/>
  <c r="G59" i="4"/>
  <c r="E59" i="4"/>
  <c r="G58" i="4"/>
  <c r="E58" i="4"/>
  <c r="G57" i="4"/>
  <c r="E57" i="4"/>
  <c r="G56" i="4"/>
  <c r="E56" i="4"/>
  <c r="H55" i="4"/>
  <c r="G55" i="4"/>
  <c r="E55" i="4"/>
  <c r="H54" i="4"/>
  <c r="G54" i="4"/>
  <c r="E54" i="4"/>
  <c r="G53" i="4"/>
  <c r="E53" i="4"/>
  <c r="G52" i="4"/>
  <c r="E52" i="4"/>
  <c r="M48" i="4"/>
  <c r="M49" i="4"/>
  <c r="M50" i="4"/>
  <c r="M51" i="4"/>
  <c r="M47" i="4"/>
  <c r="G48" i="4"/>
  <c r="G49" i="4"/>
  <c r="G50" i="4"/>
  <c r="G51" i="4"/>
  <c r="G47" i="4"/>
  <c r="E51" i="4"/>
  <c r="E50" i="4"/>
  <c r="E49" i="4"/>
  <c r="E48" i="4"/>
  <c r="E47" i="4"/>
  <c r="E42" i="4"/>
  <c r="G42" i="4"/>
  <c r="I42" i="4"/>
  <c r="E43" i="4"/>
  <c r="G43" i="4"/>
  <c r="E44" i="4"/>
  <c r="G44" i="4"/>
  <c r="E45" i="4"/>
  <c r="G45" i="4"/>
  <c r="E46" i="4"/>
  <c r="G46" i="4"/>
  <c r="M41" i="4"/>
  <c r="E37" i="4"/>
  <c r="G37" i="4"/>
  <c r="E38" i="4"/>
  <c r="G38" i="4"/>
  <c r="E39" i="4"/>
  <c r="G39" i="4"/>
  <c r="E40" i="4"/>
  <c r="G40" i="4"/>
  <c r="E41" i="4"/>
  <c r="G41" i="4"/>
  <c r="G32" i="4"/>
  <c r="G33" i="4"/>
  <c r="J33" i="4"/>
  <c r="G34" i="4"/>
  <c r="G35" i="4"/>
  <c r="G36" i="4"/>
  <c r="E36" i="4"/>
  <c r="E35" i="4"/>
  <c r="E34" i="4"/>
  <c r="E33" i="4"/>
  <c r="E32" i="4"/>
  <c r="M28" i="4"/>
  <c r="M29" i="4"/>
  <c r="M30" i="4"/>
  <c r="M31" i="4"/>
  <c r="M27" i="4"/>
  <c r="G28" i="4"/>
  <c r="G29" i="4"/>
  <c r="G30" i="4"/>
  <c r="G31" i="4"/>
  <c r="G27" i="4"/>
  <c r="F30" i="4"/>
  <c r="E31" i="4"/>
  <c r="E30" i="4"/>
  <c r="E29" i="4"/>
  <c r="E28" i="4"/>
  <c r="E27" i="4"/>
  <c r="G23" i="4"/>
  <c r="G24" i="4"/>
  <c r="G25" i="4"/>
  <c r="G26" i="4"/>
  <c r="G22" i="4"/>
  <c r="E26" i="4"/>
  <c r="E25" i="4"/>
  <c r="E24" i="4"/>
  <c r="E23" i="4"/>
  <c r="E22" i="4"/>
  <c r="M20" i="4"/>
  <c r="M21" i="4"/>
  <c r="G17" i="4"/>
  <c r="G18" i="4"/>
  <c r="G19" i="4"/>
  <c r="G20" i="4"/>
  <c r="G21" i="4"/>
  <c r="E21" i="4"/>
  <c r="E20" i="4"/>
  <c r="E19" i="4"/>
  <c r="E18" i="4"/>
  <c r="E17" i="4"/>
  <c r="G12" i="4"/>
  <c r="F13" i="4"/>
  <c r="G13" i="4"/>
  <c r="G14" i="4"/>
  <c r="G15" i="4"/>
  <c r="G16" i="4"/>
  <c r="E16" i="4"/>
  <c r="E15" i="4"/>
  <c r="E14" i="4"/>
  <c r="E13" i="4"/>
  <c r="E12" i="4"/>
  <c r="N9" i="4"/>
  <c r="M8" i="4"/>
  <c r="G7" i="4"/>
  <c r="G8" i="4"/>
  <c r="G9" i="4"/>
  <c r="G10" i="4"/>
  <c r="G11" i="4"/>
  <c r="F10" i="4"/>
  <c r="E11" i="4"/>
  <c r="E10" i="4"/>
  <c r="E9" i="4"/>
  <c r="E8" i="4"/>
  <c r="E7" i="4"/>
  <c r="M3" i="4"/>
  <c r="M4" i="4"/>
  <c r="M5" i="4"/>
  <c r="M6" i="4"/>
  <c r="M2" i="4"/>
  <c r="G3" i="4"/>
  <c r="G4" i="4"/>
  <c r="G5" i="4"/>
  <c r="G6" i="4"/>
  <c r="G2" i="4"/>
  <c r="E6" i="4"/>
  <c r="E5" i="4"/>
  <c r="E4" i="4"/>
  <c r="E3" i="4"/>
  <c r="E2" i="4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M162" i="4" s="1"/>
  <c r="Y40" i="1"/>
  <c r="Y41" i="1"/>
  <c r="Y42" i="1"/>
  <c r="M63" i="4" s="1"/>
  <c r="Y43" i="1"/>
  <c r="M83" i="4" s="1"/>
  <c r="Y44" i="1"/>
  <c r="M103" i="4" s="1"/>
  <c r="Y45" i="1"/>
  <c r="Y46" i="1"/>
  <c r="Y47" i="1"/>
  <c r="Y48" i="1"/>
  <c r="Y5" i="1"/>
  <c r="M17" i="4" s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M175" i="4" s="1"/>
  <c r="S41" i="1"/>
  <c r="M33" i="4" s="1"/>
  <c r="S42" i="1"/>
  <c r="M53" i="4" s="1"/>
  <c r="S43" i="1"/>
  <c r="M73" i="4" s="1"/>
  <c r="S44" i="1"/>
  <c r="M93" i="4" s="1"/>
  <c r="S45" i="1"/>
  <c r="S46" i="1"/>
  <c r="S47" i="1"/>
  <c r="S48" i="1"/>
  <c r="S5" i="1"/>
  <c r="V5" i="1"/>
  <c r="M15" i="4" s="1"/>
  <c r="V59" i="1"/>
  <c r="O59" i="1"/>
  <c r="N59" i="1"/>
  <c r="L59" i="1"/>
  <c r="J59" i="1"/>
  <c r="V58" i="1"/>
  <c r="O58" i="1"/>
  <c r="L58" i="1"/>
  <c r="J58" i="1"/>
  <c r="V57" i="1"/>
  <c r="O57" i="1"/>
  <c r="N57" i="1"/>
  <c r="L57" i="1"/>
  <c r="J57" i="1"/>
  <c r="V56" i="1"/>
  <c r="O56" i="1"/>
  <c r="L56" i="1"/>
  <c r="J56" i="1"/>
  <c r="V55" i="1"/>
  <c r="O55" i="1"/>
  <c r="L55" i="1"/>
  <c r="J55" i="1"/>
  <c r="V54" i="1"/>
  <c r="O54" i="1"/>
  <c r="L54" i="1"/>
  <c r="J54" i="1"/>
  <c r="V53" i="1"/>
  <c r="L53" i="1"/>
  <c r="J53" i="1"/>
  <c r="V52" i="1"/>
  <c r="N52" i="1"/>
  <c r="L52" i="1"/>
  <c r="J52" i="1"/>
  <c r="J47" i="1"/>
  <c r="L47" i="1"/>
  <c r="M47" i="1"/>
  <c r="O47" i="1"/>
  <c r="V47" i="1"/>
  <c r="J48" i="1"/>
  <c r="T48" i="1" s="1"/>
  <c r="L48" i="1"/>
  <c r="M48" i="1"/>
  <c r="O48" i="1"/>
  <c r="V48" i="1"/>
  <c r="J45" i="1"/>
  <c r="L45" i="1"/>
  <c r="M45" i="1"/>
  <c r="O45" i="1"/>
  <c r="V45" i="1"/>
  <c r="J46" i="1"/>
  <c r="L46" i="1"/>
  <c r="M46" i="1"/>
  <c r="O46" i="1"/>
  <c r="V46" i="1"/>
  <c r="O6" i="1"/>
  <c r="O7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8" i="1"/>
  <c r="K146" i="4" s="1"/>
  <c r="O39" i="1"/>
  <c r="K158" i="4" s="1"/>
  <c r="O40" i="1"/>
  <c r="O5" i="1"/>
  <c r="N8" i="1"/>
  <c r="N9" i="1"/>
  <c r="N10" i="1"/>
  <c r="N11" i="1"/>
  <c r="N12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9" i="1"/>
  <c r="J159" i="4" s="1"/>
  <c r="N41" i="1"/>
  <c r="J42" i="4" s="1"/>
  <c r="N5" i="1"/>
  <c r="J2" i="4" s="1"/>
  <c r="M6" i="1"/>
  <c r="I23" i="4" s="1"/>
  <c r="M7" i="1"/>
  <c r="M8" i="1"/>
  <c r="M11" i="1"/>
  <c r="M12" i="1"/>
  <c r="M15" i="1"/>
  <c r="M16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40" i="1"/>
  <c r="M41" i="1"/>
  <c r="I45" i="4" s="1"/>
  <c r="M42" i="1"/>
  <c r="I59" i="4" s="1"/>
  <c r="M43" i="1"/>
  <c r="I85" i="4" s="1"/>
  <c r="M44" i="1"/>
  <c r="I95" i="4" s="1"/>
  <c r="M5" i="1"/>
  <c r="I15" i="4" s="1"/>
  <c r="L6" i="1"/>
  <c r="H23" i="4" s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33" i="1"/>
  <c r="L34" i="1"/>
  <c r="L35" i="1"/>
  <c r="L36" i="1"/>
  <c r="L37" i="1"/>
  <c r="L38" i="1"/>
  <c r="L39" i="1"/>
  <c r="H149" i="4" s="1"/>
  <c r="L40" i="1"/>
  <c r="L41" i="1"/>
  <c r="H44" i="4" s="1"/>
  <c r="L42" i="1"/>
  <c r="H59" i="4" s="1"/>
  <c r="L43" i="1"/>
  <c r="L44" i="1"/>
  <c r="H99" i="4" s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M137" i="4" s="1"/>
  <c r="V39" i="1"/>
  <c r="M157" i="4" s="1"/>
  <c r="V40" i="1"/>
  <c r="M177" i="4" s="1"/>
  <c r="V41" i="1"/>
  <c r="M38" i="4" s="1"/>
  <c r="V42" i="1"/>
  <c r="M57" i="4" s="1"/>
  <c r="V43" i="1"/>
  <c r="M77" i="4" s="1"/>
  <c r="V44" i="1"/>
  <c r="M97" i="4" s="1"/>
  <c r="J44" i="1"/>
  <c r="F106" i="4" s="1"/>
  <c r="J43" i="1"/>
  <c r="F79" i="4" s="1"/>
  <c r="J42" i="1"/>
  <c r="F66" i="4" s="1"/>
  <c r="J41" i="1"/>
  <c r="F39" i="4" s="1"/>
  <c r="J40" i="1"/>
  <c r="F186" i="4" s="1"/>
  <c r="J39" i="1"/>
  <c r="F156" i="4" s="1"/>
  <c r="J38" i="1"/>
  <c r="T38" i="1" s="1"/>
  <c r="J37" i="1"/>
  <c r="F126" i="4" s="1"/>
  <c r="J36" i="1"/>
  <c r="J35" i="1"/>
  <c r="J34" i="1"/>
  <c r="T34" i="1" s="1"/>
  <c r="J33" i="1"/>
  <c r="J32" i="1"/>
  <c r="J31" i="1"/>
  <c r="J30" i="1"/>
  <c r="T30" i="1" s="1"/>
  <c r="J29" i="1"/>
  <c r="J28" i="1"/>
  <c r="J27" i="1"/>
  <c r="J26" i="1"/>
  <c r="T26" i="1" s="1"/>
  <c r="J25" i="1"/>
  <c r="J24" i="1"/>
  <c r="J23" i="1"/>
  <c r="J22" i="1"/>
  <c r="J21" i="1"/>
  <c r="J20" i="1"/>
  <c r="J19" i="1"/>
  <c r="T19" i="1" s="1"/>
  <c r="J18" i="1"/>
  <c r="J17" i="1"/>
  <c r="J16" i="1"/>
  <c r="J15" i="1"/>
  <c r="T15" i="1" s="1"/>
  <c r="J14" i="1"/>
  <c r="J13" i="1"/>
  <c r="J12" i="1"/>
  <c r="T12" i="1" s="1"/>
  <c r="J11" i="1"/>
  <c r="T11" i="1" s="1"/>
  <c r="J10" i="1"/>
  <c r="J9" i="1"/>
  <c r="J6" i="1"/>
  <c r="F22" i="4" s="1"/>
  <c r="J7" i="1"/>
  <c r="T7" i="1" s="1"/>
  <c r="J8" i="1"/>
  <c r="T8" i="1" s="1"/>
  <c r="J5" i="1"/>
  <c r="T5" i="1" s="1"/>
  <c r="N8" i="4" s="1"/>
  <c r="M117" i="4" l="1"/>
  <c r="M120" i="4"/>
  <c r="M121" i="4"/>
  <c r="I168" i="4"/>
  <c r="I179" i="4"/>
  <c r="I167" i="4"/>
  <c r="I182" i="4"/>
  <c r="I171" i="4"/>
  <c r="I185" i="4"/>
  <c r="I175" i="4"/>
  <c r="I172" i="4"/>
  <c r="I181" i="4"/>
  <c r="I178" i="4"/>
  <c r="I170" i="4"/>
  <c r="I186" i="4"/>
  <c r="I173" i="4"/>
  <c r="I177" i="4"/>
  <c r="I174" i="4"/>
  <c r="I183" i="4"/>
  <c r="I180" i="4"/>
  <c r="M7" i="4"/>
  <c r="M9" i="4"/>
  <c r="M119" i="4"/>
  <c r="I176" i="4"/>
  <c r="I184" i="4"/>
  <c r="M123" i="4"/>
  <c r="M124" i="4"/>
  <c r="M126" i="4"/>
  <c r="M125" i="4"/>
  <c r="M122" i="4"/>
  <c r="M118" i="4"/>
  <c r="H79" i="4"/>
  <c r="H73" i="4"/>
  <c r="F8" i="4"/>
  <c r="M133" i="4"/>
  <c r="M134" i="4"/>
  <c r="H168" i="4"/>
  <c r="H171" i="4"/>
  <c r="H175" i="4"/>
  <c r="H179" i="4"/>
  <c r="H167" i="4"/>
  <c r="H185" i="4"/>
  <c r="H181" i="4"/>
  <c r="H178" i="4"/>
  <c r="H170" i="4"/>
  <c r="M113" i="4"/>
  <c r="M114" i="4"/>
  <c r="M116" i="4"/>
  <c r="M46" i="4"/>
  <c r="M45" i="4"/>
  <c r="M43" i="4"/>
  <c r="H183" i="4"/>
  <c r="M183" i="4"/>
  <c r="M184" i="4"/>
  <c r="M186" i="4"/>
  <c r="H174" i="4"/>
  <c r="H177" i="4"/>
  <c r="H138" i="4"/>
  <c r="H135" i="4"/>
  <c r="H128" i="4"/>
  <c r="H141" i="4"/>
  <c r="H127" i="4"/>
  <c r="H145" i="4"/>
  <c r="H129" i="4"/>
  <c r="H142" i="4"/>
  <c r="K165" i="4"/>
  <c r="M173" i="4"/>
  <c r="M174" i="4"/>
  <c r="M176" i="4"/>
  <c r="M153" i="4"/>
  <c r="M154" i="4"/>
  <c r="M156" i="4"/>
  <c r="H36" i="4"/>
  <c r="H28" i="4"/>
  <c r="H43" i="4"/>
  <c r="H48" i="4"/>
  <c r="K9" i="4"/>
  <c r="K18" i="4"/>
  <c r="M155" i="4"/>
  <c r="H159" i="4"/>
  <c r="H164" i="4"/>
  <c r="H150" i="4"/>
  <c r="H155" i="4"/>
  <c r="H161" i="4"/>
  <c r="H166" i="4"/>
  <c r="H158" i="4"/>
  <c r="H163" i="4"/>
  <c r="K171" i="4"/>
  <c r="K182" i="4"/>
  <c r="K181" i="4"/>
  <c r="K185" i="4"/>
  <c r="K175" i="4"/>
  <c r="K172" i="4"/>
  <c r="K184" i="4"/>
  <c r="K174" i="4"/>
  <c r="K149" i="4"/>
  <c r="K161" i="4"/>
  <c r="K166" i="4"/>
  <c r="K155" i="4"/>
  <c r="K152" i="4"/>
  <c r="K150" i="4"/>
  <c r="K154" i="4"/>
  <c r="H125" i="4"/>
  <c r="H119" i="4"/>
  <c r="H108" i="4"/>
  <c r="H115" i="4"/>
  <c r="H121" i="4"/>
  <c r="H118" i="4"/>
  <c r="K141" i="4"/>
  <c r="K131" i="4"/>
  <c r="K138" i="4"/>
  <c r="K127" i="4"/>
  <c r="K132" i="4"/>
  <c r="K145" i="4"/>
  <c r="K135" i="4"/>
  <c r="K142" i="4"/>
  <c r="K140" i="4"/>
  <c r="K137" i="4"/>
  <c r="K128" i="4"/>
  <c r="K144" i="4"/>
  <c r="K134" i="4"/>
  <c r="M143" i="4"/>
  <c r="M144" i="4"/>
  <c r="M146" i="4"/>
  <c r="H116" i="4"/>
  <c r="M136" i="4"/>
  <c r="M142" i="4"/>
  <c r="H154" i="4"/>
  <c r="H169" i="4"/>
  <c r="K183" i="4"/>
  <c r="M185" i="4"/>
  <c r="F112" i="4"/>
  <c r="F122" i="4"/>
  <c r="F132" i="4"/>
  <c r="F142" i="4"/>
  <c r="F151" i="4"/>
  <c r="F152" i="4"/>
  <c r="F115" i="4"/>
  <c r="F125" i="4"/>
  <c r="F129" i="4"/>
  <c r="F135" i="4"/>
  <c r="F145" i="4"/>
  <c r="F155" i="4"/>
  <c r="J163" i="4"/>
  <c r="J158" i="4"/>
  <c r="F175" i="4"/>
  <c r="F185" i="4"/>
  <c r="U38" i="1"/>
  <c r="F119" i="4"/>
  <c r="F108" i="4"/>
  <c r="F150" i="4"/>
  <c r="F111" i="4"/>
  <c r="F110" i="4"/>
  <c r="F109" i="4"/>
  <c r="F113" i="4"/>
  <c r="F123" i="4"/>
  <c r="F133" i="4"/>
  <c r="F143" i="4"/>
  <c r="F153" i="4"/>
  <c r="F173" i="4"/>
  <c r="F183" i="4"/>
  <c r="F116" i="4"/>
  <c r="F136" i="4"/>
  <c r="F146" i="4"/>
  <c r="J149" i="4"/>
  <c r="J164" i="4"/>
  <c r="F176" i="4"/>
  <c r="K5" i="4"/>
  <c r="J31" i="4"/>
  <c r="F36" i="4"/>
  <c r="J32" i="4"/>
  <c r="H45" i="4"/>
  <c r="H53" i="4"/>
  <c r="M61" i="4"/>
  <c r="H63" i="4"/>
  <c r="I70" i="4"/>
  <c r="H75" i="4"/>
  <c r="I72" i="4"/>
  <c r="M81" i="4"/>
  <c r="H85" i="4"/>
  <c r="I82" i="4"/>
  <c r="F87" i="4"/>
  <c r="H87" i="4"/>
  <c r="H95" i="4"/>
  <c r="I92" i="4"/>
  <c r="M101" i="4"/>
  <c r="H103" i="4"/>
  <c r="F2" i="4"/>
  <c r="K4" i="4"/>
  <c r="I31" i="4"/>
  <c r="I32" i="4"/>
  <c r="J41" i="4"/>
  <c r="M39" i="4"/>
  <c r="H42" i="4"/>
  <c r="I51" i="4"/>
  <c r="I53" i="4"/>
  <c r="H56" i="4"/>
  <c r="F57" i="4"/>
  <c r="I63" i="4"/>
  <c r="H66" i="4"/>
  <c r="H70" i="4"/>
  <c r="H72" i="4"/>
  <c r="H82" i="4"/>
  <c r="F91" i="4"/>
  <c r="I87" i="4"/>
  <c r="H92" i="4"/>
  <c r="F97" i="4"/>
  <c r="I103" i="4"/>
  <c r="H106" i="4"/>
  <c r="I4" i="4"/>
  <c r="F4" i="4"/>
  <c r="K3" i="4"/>
  <c r="H31" i="4"/>
  <c r="J35" i="4"/>
  <c r="H32" i="4"/>
  <c r="I41" i="4"/>
  <c r="J38" i="4"/>
  <c r="F45" i="4"/>
  <c r="H51" i="4"/>
  <c r="I56" i="4"/>
  <c r="F60" i="4"/>
  <c r="I66" i="4"/>
  <c r="F75" i="4"/>
  <c r="I81" i="4"/>
  <c r="F85" i="4"/>
  <c r="F90" i="4"/>
  <c r="F95" i="4"/>
  <c r="F100" i="4"/>
  <c r="I106" i="4"/>
  <c r="F3" i="4"/>
  <c r="I11" i="4"/>
  <c r="F15" i="4"/>
  <c r="K21" i="4"/>
  <c r="I35" i="4"/>
  <c r="H41" i="4"/>
  <c r="I38" i="4"/>
  <c r="F42" i="4"/>
  <c r="H57" i="4"/>
  <c r="M60" i="4"/>
  <c r="F72" i="4"/>
  <c r="H81" i="4"/>
  <c r="I78" i="4"/>
  <c r="M80" i="4"/>
  <c r="F82" i="4"/>
  <c r="F89" i="4"/>
  <c r="F92" i="4"/>
  <c r="H97" i="4"/>
  <c r="M100" i="4"/>
  <c r="I10" i="4"/>
  <c r="I21" i="4"/>
  <c r="J30" i="4"/>
  <c r="H35" i="4"/>
  <c r="F32" i="4"/>
  <c r="H38" i="4"/>
  <c r="M40" i="4"/>
  <c r="I57" i="4"/>
  <c r="H60" i="4"/>
  <c r="I69" i="4"/>
  <c r="H78" i="4"/>
  <c r="F88" i="4"/>
  <c r="I91" i="4"/>
  <c r="I97" i="4"/>
  <c r="H100" i="4"/>
  <c r="I9" i="4"/>
  <c r="F14" i="4"/>
  <c r="F27" i="4"/>
  <c r="I30" i="4"/>
  <c r="F41" i="4"/>
  <c r="J44" i="4"/>
  <c r="M42" i="4"/>
  <c r="F47" i="4"/>
  <c r="I50" i="4"/>
  <c r="F54" i="4"/>
  <c r="M52" i="4"/>
  <c r="I60" i="4"/>
  <c r="F64" i="4"/>
  <c r="M62" i="4"/>
  <c r="F67" i="4"/>
  <c r="H69" i="4"/>
  <c r="M72" i="4"/>
  <c r="F81" i="4"/>
  <c r="M82" i="4"/>
  <c r="H91" i="4"/>
  <c r="M92" i="4"/>
  <c r="I100" i="4"/>
  <c r="F104" i="4"/>
  <c r="M102" i="4"/>
  <c r="I8" i="4"/>
  <c r="F21" i="4"/>
  <c r="F31" i="4"/>
  <c r="H30" i="4"/>
  <c r="F35" i="4"/>
  <c r="M32" i="4"/>
  <c r="F38" i="4"/>
  <c r="I44" i="4"/>
  <c r="H50" i="4"/>
  <c r="M59" i="4"/>
  <c r="F71" i="4"/>
  <c r="I74" i="4"/>
  <c r="F78" i="4"/>
  <c r="M79" i="4"/>
  <c r="I84" i="4"/>
  <c r="I94" i="4"/>
  <c r="M99" i="4"/>
  <c r="I7" i="4"/>
  <c r="I20" i="4"/>
  <c r="F70" i="4"/>
  <c r="H74" i="4"/>
  <c r="H84" i="4"/>
  <c r="I90" i="4"/>
  <c r="H94" i="4"/>
  <c r="H104" i="4"/>
  <c r="K8" i="4"/>
  <c r="F29" i="4"/>
  <c r="J29" i="4"/>
  <c r="J34" i="4"/>
  <c r="J40" i="4"/>
  <c r="F51" i="4"/>
  <c r="I54" i="4"/>
  <c r="F58" i="4"/>
  <c r="I64" i="4"/>
  <c r="F69" i="4"/>
  <c r="I68" i="4"/>
  <c r="H90" i="4"/>
  <c r="F98" i="4"/>
  <c r="I104" i="4"/>
  <c r="F12" i="4"/>
  <c r="F20" i="4"/>
  <c r="F26" i="4"/>
  <c r="F28" i="4"/>
  <c r="I29" i="4"/>
  <c r="I34" i="4"/>
  <c r="I40" i="4"/>
  <c r="J37" i="4"/>
  <c r="F44" i="4"/>
  <c r="I49" i="4"/>
  <c r="F61" i="4"/>
  <c r="M58" i="4"/>
  <c r="F68" i="4"/>
  <c r="H68" i="4"/>
  <c r="F74" i="4"/>
  <c r="I80" i="4"/>
  <c r="M78" i="4"/>
  <c r="F84" i="4"/>
  <c r="F94" i="4"/>
  <c r="F101" i="4"/>
  <c r="M98" i="4"/>
  <c r="K15" i="4"/>
  <c r="J19" i="4"/>
  <c r="H29" i="4"/>
  <c r="H34" i="4"/>
  <c r="M36" i="4"/>
  <c r="H40" i="4"/>
  <c r="I37" i="4"/>
  <c r="F50" i="4"/>
  <c r="H49" i="4"/>
  <c r="M56" i="4"/>
  <c r="H58" i="4"/>
  <c r="M66" i="4"/>
  <c r="M76" i="4"/>
  <c r="H80" i="4"/>
  <c r="I77" i="4"/>
  <c r="M86" i="4"/>
  <c r="I89" i="4"/>
  <c r="M96" i="4"/>
  <c r="H98" i="4"/>
  <c r="M106" i="4"/>
  <c r="N7" i="4"/>
  <c r="I14" i="4"/>
  <c r="I19" i="4"/>
  <c r="F25" i="4"/>
  <c r="H37" i="4"/>
  <c r="J46" i="4"/>
  <c r="M44" i="4"/>
  <c r="F52" i="4"/>
  <c r="I58" i="4"/>
  <c r="H61" i="4"/>
  <c r="F62" i="4"/>
  <c r="H77" i="4"/>
  <c r="H89" i="4"/>
  <c r="I98" i="4"/>
  <c r="H101" i="4"/>
  <c r="F102" i="4"/>
  <c r="N11" i="4"/>
  <c r="K13" i="4"/>
  <c r="J28" i="4"/>
  <c r="F34" i="4"/>
  <c r="F40" i="4"/>
  <c r="I46" i="4"/>
  <c r="J43" i="4"/>
  <c r="F49" i="4"/>
  <c r="F55" i="4"/>
  <c r="I61" i="4"/>
  <c r="F65" i="4"/>
  <c r="I76" i="4"/>
  <c r="F80" i="4"/>
  <c r="I86" i="4"/>
  <c r="I96" i="4"/>
  <c r="I101" i="4"/>
  <c r="F105" i="4"/>
  <c r="Q20" i="1"/>
  <c r="Z20" i="1" s="1"/>
  <c r="AA20" i="1" s="1"/>
  <c r="F11" i="4"/>
  <c r="N10" i="4"/>
  <c r="J13" i="4"/>
  <c r="F19" i="4"/>
  <c r="F24" i="4"/>
  <c r="I28" i="4"/>
  <c r="M35" i="4"/>
  <c r="F37" i="4"/>
  <c r="H46" i="4"/>
  <c r="I43" i="4"/>
  <c r="I48" i="4"/>
  <c r="H52" i="4"/>
  <c r="M55" i="4"/>
  <c r="H62" i="4"/>
  <c r="M65" i="4"/>
  <c r="H76" i="4"/>
  <c r="I73" i="4"/>
  <c r="M75" i="4"/>
  <c r="F77" i="4"/>
  <c r="H86" i="4"/>
  <c r="I83" i="4"/>
  <c r="M85" i="4"/>
  <c r="I88" i="4"/>
  <c r="H96" i="4"/>
  <c r="I93" i="4"/>
  <c r="M95" i="4"/>
  <c r="H102" i="4"/>
  <c r="M105" i="4"/>
  <c r="I13" i="4"/>
  <c r="F48" i="4"/>
  <c r="I52" i="4"/>
  <c r="I62" i="4"/>
  <c r="H83" i="4"/>
  <c r="H88" i="4"/>
  <c r="H93" i="4"/>
  <c r="I102" i="4"/>
  <c r="H105" i="4"/>
  <c r="I3" i="4"/>
  <c r="F9" i="4"/>
  <c r="K12" i="4"/>
  <c r="I18" i="4"/>
  <c r="F23" i="4"/>
  <c r="H27" i="4"/>
  <c r="I33" i="4"/>
  <c r="J39" i="4"/>
  <c r="M37" i="4"/>
  <c r="F46" i="4"/>
  <c r="I55" i="4"/>
  <c r="F59" i="4"/>
  <c r="I65" i="4"/>
  <c r="H67" i="4"/>
  <c r="F76" i="4"/>
  <c r="F86" i="4"/>
  <c r="F96" i="4"/>
  <c r="F99" i="4"/>
  <c r="I105" i="4"/>
  <c r="J12" i="4"/>
  <c r="H22" i="4"/>
  <c r="I27" i="4"/>
  <c r="J36" i="4"/>
  <c r="H33" i="4"/>
  <c r="M34" i="4"/>
  <c r="I39" i="4"/>
  <c r="F43" i="4"/>
  <c r="H47" i="4"/>
  <c r="M54" i="4"/>
  <c r="M64" i="4"/>
  <c r="I67" i="4"/>
  <c r="I71" i="4"/>
  <c r="F73" i="4"/>
  <c r="M74" i="4"/>
  <c r="I79" i="4"/>
  <c r="F83" i="4"/>
  <c r="M84" i="4"/>
  <c r="F93" i="4"/>
  <c r="M94" i="4"/>
  <c r="M104" i="4"/>
  <c r="J3" i="4"/>
  <c r="F7" i="4"/>
  <c r="I12" i="4"/>
  <c r="F18" i="4"/>
  <c r="H26" i="4"/>
  <c r="J27" i="4"/>
  <c r="I36" i="4"/>
  <c r="H39" i="4"/>
  <c r="I47" i="4"/>
  <c r="H71" i="4"/>
  <c r="J4" i="4"/>
  <c r="K2" i="4"/>
  <c r="H25" i="4"/>
  <c r="F33" i="4"/>
  <c r="J45" i="4"/>
  <c r="F53" i="4"/>
  <c r="F63" i="4"/>
  <c r="I99" i="4"/>
  <c r="F103" i="4"/>
  <c r="K6" i="4"/>
  <c r="F17" i="4"/>
  <c r="H24" i="4"/>
  <c r="F56" i="4"/>
  <c r="I75" i="4"/>
  <c r="J11" i="4"/>
  <c r="I24" i="4"/>
  <c r="K7" i="4"/>
  <c r="J15" i="4"/>
  <c r="U30" i="1"/>
  <c r="J6" i="4"/>
  <c r="M11" i="4"/>
  <c r="K14" i="4"/>
  <c r="J5" i="4"/>
  <c r="M10" i="4"/>
  <c r="F16" i="4"/>
  <c r="J14" i="4"/>
  <c r="K19" i="4"/>
  <c r="M12" i="4"/>
  <c r="J10" i="4"/>
  <c r="M16" i="4"/>
  <c r="J9" i="4"/>
  <c r="J8" i="4"/>
  <c r="M14" i="4"/>
  <c r="J7" i="4"/>
  <c r="M13" i="4"/>
  <c r="K17" i="4"/>
  <c r="M18" i="4"/>
  <c r="I2" i="4"/>
  <c r="K11" i="4"/>
  <c r="K16" i="4"/>
  <c r="J17" i="4"/>
  <c r="I22" i="4"/>
  <c r="F6" i="4"/>
  <c r="I6" i="4"/>
  <c r="K10" i="4"/>
  <c r="J16" i="4"/>
  <c r="K20" i="4"/>
  <c r="I17" i="4"/>
  <c r="I26" i="4"/>
  <c r="J18" i="4"/>
  <c r="M19" i="4"/>
  <c r="U26" i="1"/>
  <c r="F5" i="4"/>
  <c r="I5" i="4"/>
  <c r="I16" i="4"/>
  <c r="J20" i="4"/>
  <c r="I25" i="4"/>
  <c r="J21" i="4"/>
  <c r="U34" i="1"/>
  <c r="U12" i="1"/>
  <c r="U48" i="1"/>
  <c r="U19" i="1"/>
  <c r="U15" i="1"/>
  <c r="U11" i="1"/>
  <c r="W48" i="1"/>
  <c r="X48" i="1" s="1"/>
  <c r="N48" i="1"/>
  <c r="U8" i="1"/>
  <c r="U7" i="1"/>
  <c r="U5" i="1"/>
  <c r="L5" i="1"/>
  <c r="W5" i="1"/>
  <c r="W6" i="1"/>
  <c r="X6" i="1" s="1"/>
  <c r="T6" i="1"/>
  <c r="U6" i="1" s="1"/>
  <c r="M9" i="1"/>
  <c r="Q9" i="1" s="1"/>
  <c r="T9" i="1"/>
  <c r="U9" i="1" s="1"/>
  <c r="W10" i="1"/>
  <c r="X10" i="1" s="1"/>
  <c r="T10" i="1"/>
  <c r="U10" i="1" s="1"/>
  <c r="M13" i="1"/>
  <c r="T13" i="1"/>
  <c r="U13" i="1" s="1"/>
  <c r="M14" i="1"/>
  <c r="T14" i="1"/>
  <c r="U14" i="1" s="1"/>
  <c r="W16" i="1"/>
  <c r="X16" i="1" s="1"/>
  <c r="T16" i="1"/>
  <c r="U16" i="1" s="1"/>
  <c r="M17" i="1"/>
  <c r="Q17" i="1" s="1"/>
  <c r="T17" i="1"/>
  <c r="U17" i="1" s="1"/>
  <c r="M18" i="1"/>
  <c r="Q18" i="1" s="1"/>
  <c r="T18" i="1"/>
  <c r="U18" i="1" s="1"/>
  <c r="W20" i="1"/>
  <c r="X20" i="1" s="1"/>
  <c r="T20" i="1"/>
  <c r="U20" i="1" s="1"/>
  <c r="L21" i="1"/>
  <c r="Q21" i="1" s="1"/>
  <c r="T21" i="1"/>
  <c r="U21" i="1" s="1"/>
  <c r="W22" i="1"/>
  <c r="X22" i="1" s="1"/>
  <c r="T22" i="1"/>
  <c r="U22" i="1" s="1"/>
  <c r="L23" i="1"/>
  <c r="Q23" i="1" s="1"/>
  <c r="T23" i="1"/>
  <c r="U23" i="1" s="1"/>
  <c r="L24" i="1"/>
  <c r="Q24" i="1" s="1"/>
  <c r="T24" i="1"/>
  <c r="U24" i="1" s="1"/>
  <c r="L25" i="1"/>
  <c r="Q25" i="1" s="1"/>
  <c r="T25" i="1"/>
  <c r="U25" i="1" s="1"/>
  <c r="L27" i="1"/>
  <c r="Q27" i="1" s="1"/>
  <c r="T27" i="1"/>
  <c r="U27" i="1" s="1"/>
  <c r="L28" i="1"/>
  <c r="Q28" i="1" s="1"/>
  <c r="T28" i="1"/>
  <c r="U28" i="1" s="1"/>
  <c r="L29" i="1"/>
  <c r="Q29" i="1" s="1"/>
  <c r="T29" i="1"/>
  <c r="U29" i="1" s="1"/>
  <c r="L31" i="1"/>
  <c r="Q31" i="1" s="1"/>
  <c r="T31" i="1"/>
  <c r="U31" i="1" s="1"/>
  <c r="L32" i="1"/>
  <c r="Q32" i="1" s="1"/>
  <c r="T32" i="1"/>
  <c r="U32" i="1" s="1"/>
  <c r="M33" i="1"/>
  <c r="Q33" i="1" s="1"/>
  <c r="T33" i="1"/>
  <c r="U33" i="1" s="1"/>
  <c r="M35" i="1"/>
  <c r="Q35" i="1" s="1"/>
  <c r="T35" i="1"/>
  <c r="U35" i="1" s="1"/>
  <c r="M36" i="1"/>
  <c r="Q36" i="1" s="1"/>
  <c r="T36" i="1"/>
  <c r="U36" i="1" s="1"/>
  <c r="M37" i="1"/>
  <c r="T37" i="1"/>
  <c r="M39" i="1"/>
  <c r="T39" i="1"/>
  <c r="N40" i="1"/>
  <c r="T40" i="1"/>
  <c r="O41" i="1"/>
  <c r="T41" i="1"/>
  <c r="O42" i="1"/>
  <c r="T42" i="1"/>
  <c r="O43" i="1"/>
  <c r="T43" i="1"/>
  <c r="N46" i="1"/>
  <c r="Q46" i="1" s="1"/>
  <c r="T46" i="1"/>
  <c r="U46" i="1" s="1"/>
  <c r="N45" i="1"/>
  <c r="Q45" i="1" s="1"/>
  <c r="T45" i="1"/>
  <c r="U45" i="1" s="1"/>
  <c r="W47" i="1"/>
  <c r="X47" i="1" s="1"/>
  <c r="T47" i="1"/>
  <c r="U47" i="1" s="1"/>
  <c r="O52" i="1"/>
  <c r="T52" i="1"/>
  <c r="W53" i="1"/>
  <c r="X53" i="1" s="1"/>
  <c r="T53" i="1"/>
  <c r="N54" i="1"/>
  <c r="T54" i="1"/>
  <c r="W55" i="1"/>
  <c r="X55" i="1" s="1"/>
  <c r="T55" i="1"/>
  <c r="N56" i="1"/>
  <c r="T56" i="1"/>
  <c r="W57" i="1"/>
  <c r="T57" i="1"/>
  <c r="W58" i="1"/>
  <c r="X58" i="1" s="1"/>
  <c r="T58" i="1"/>
  <c r="W59" i="1"/>
  <c r="T59" i="1"/>
  <c r="W44" i="1"/>
  <c r="T44" i="1"/>
  <c r="O44" i="1"/>
  <c r="W8" i="1"/>
  <c r="X8" i="1" s="1"/>
  <c r="O8" i="1"/>
  <c r="Q8" i="1" s="1"/>
  <c r="W7" i="1"/>
  <c r="X7" i="1" s="1"/>
  <c r="N7" i="1"/>
  <c r="Q7" i="1" s="1"/>
  <c r="W26" i="1"/>
  <c r="X26" i="1" s="1"/>
  <c r="L26" i="1"/>
  <c r="Q26" i="1" s="1"/>
  <c r="W30" i="1"/>
  <c r="X30" i="1" s="1"/>
  <c r="L30" i="1"/>
  <c r="Q30" i="1" s="1"/>
  <c r="W34" i="1"/>
  <c r="X34" i="1" s="1"/>
  <c r="M34" i="1"/>
  <c r="Q34" i="1" s="1"/>
  <c r="W38" i="1"/>
  <c r="M38" i="1"/>
  <c r="M56" i="1"/>
  <c r="M57" i="1"/>
  <c r="Q57" i="1" s="1"/>
  <c r="R57" i="1" s="1"/>
  <c r="M58" i="1"/>
  <c r="M59" i="1"/>
  <c r="X59" i="1"/>
  <c r="Q59" i="1"/>
  <c r="R59" i="1" s="1"/>
  <c r="X57" i="1"/>
  <c r="M55" i="1"/>
  <c r="M53" i="1"/>
  <c r="M54" i="1"/>
  <c r="M52" i="1"/>
  <c r="N53" i="1"/>
  <c r="O53" i="1"/>
  <c r="N55" i="1"/>
  <c r="Q54" i="1"/>
  <c r="R54" i="1" s="1"/>
  <c r="Q52" i="1"/>
  <c r="R52" i="1" s="1"/>
  <c r="Q56" i="1"/>
  <c r="R56" i="1" s="1"/>
  <c r="N58" i="1"/>
  <c r="Q58" i="1" s="1"/>
  <c r="R58" i="1" s="1"/>
  <c r="W52" i="1"/>
  <c r="X52" i="1" s="1"/>
  <c r="W54" i="1"/>
  <c r="X54" i="1" s="1"/>
  <c r="W56" i="1"/>
  <c r="X56" i="1" s="1"/>
  <c r="N6" i="1"/>
  <c r="M10" i="1"/>
  <c r="Q10" i="1" s="1"/>
  <c r="N13" i="1"/>
  <c r="L22" i="1"/>
  <c r="Q22" i="1" s="1"/>
  <c r="Q48" i="1"/>
  <c r="W46" i="1"/>
  <c r="X46" i="1" s="1"/>
  <c r="N47" i="1"/>
  <c r="Q47" i="1" s="1"/>
  <c r="N38" i="1"/>
  <c r="O37" i="1"/>
  <c r="W45" i="1"/>
  <c r="X45" i="1" s="1"/>
  <c r="N44" i="1"/>
  <c r="N43" i="1"/>
  <c r="N42" i="1"/>
  <c r="N37" i="1"/>
  <c r="N14" i="1"/>
  <c r="Q14" i="1" s="1"/>
  <c r="Q19" i="1"/>
  <c r="W15" i="1"/>
  <c r="X15" i="1" s="1"/>
  <c r="Q16" i="1"/>
  <c r="W9" i="1"/>
  <c r="X9" i="1" s="1"/>
  <c r="W41" i="1"/>
  <c r="W37" i="1"/>
  <c r="Q11" i="1"/>
  <c r="W18" i="1"/>
  <c r="X18" i="1" s="1"/>
  <c r="W17" i="1"/>
  <c r="X17" i="1" s="1"/>
  <c r="W31" i="1"/>
  <c r="X31" i="1" s="1"/>
  <c r="W28" i="1"/>
  <c r="X28" i="1" s="1"/>
  <c r="W23" i="1"/>
  <c r="X23" i="1" s="1"/>
  <c r="Q15" i="1"/>
  <c r="W21" i="1"/>
  <c r="X21" i="1" s="1"/>
  <c r="W36" i="1"/>
  <c r="X36" i="1" s="1"/>
  <c r="W33" i="1"/>
  <c r="X33" i="1" s="1"/>
  <c r="Q12" i="1"/>
  <c r="W35" i="1"/>
  <c r="X35" i="1" s="1"/>
  <c r="W19" i="1"/>
  <c r="X19" i="1" s="1"/>
  <c r="W32" i="1"/>
  <c r="X32" i="1" s="1"/>
  <c r="W29" i="1"/>
  <c r="X29" i="1" s="1"/>
  <c r="W14" i="1"/>
  <c r="X14" i="1" s="1"/>
  <c r="W13" i="1"/>
  <c r="X13" i="1" s="1"/>
  <c r="W40" i="1"/>
  <c r="W39" i="1"/>
  <c r="W25" i="1"/>
  <c r="X25" i="1" s="1"/>
  <c r="W11" i="1"/>
  <c r="X11" i="1" s="1"/>
  <c r="W43" i="1"/>
  <c r="W42" i="1"/>
  <c r="W27" i="1"/>
  <c r="X27" i="1" s="1"/>
  <c r="W12" i="1"/>
  <c r="X12" i="1" s="1"/>
  <c r="W24" i="1"/>
  <c r="X24" i="1" s="1"/>
  <c r="I159" i="4" l="1"/>
  <c r="I164" i="4"/>
  <c r="I152" i="4"/>
  <c r="I155" i="4"/>
  <c r="I150" i="4"/>
  <c r="I161" i="4"/>
  <c r="I166" i="4"/>
  <c r="I158" i="4"/>
  <c r="I163" i="4"/>
  <c r="I157" i="4"/>
  <c r="I147" i="4"/>
  <c r="I165" i="4"/>
  <c r="I149" i="4"/>
  <c r="I153" i="4"/>
  <c r="I151" i="4"/>
  <c r="I156" i="4"/>
  <c r="I160" i="4"/>
  <c r="I148" i="4"/>
  <c r="I154" i="4"/>
  <c r="I162" i="4"/>
  <c r="Q39" i="1"/>
  <c r="I119" i="4"/>
  <c r="I125" i="4"/>
  <c r="I112" i="4"/>
  <c r="I108" i="4"/>
  <c r="I115" i="4"/>
  <c r="I122" i="4"/>
  <c r="I121" i="4"/>
  <c r="I109" i="4"/>
  <c r="I118" i="4"/>
  <c r="I123" i="4"/>
  <c r="I110" i="4"/>
  <c r="I124" i="4"/>
  <c r="I117" i="4"/>
  <c r="I114" i="4"/>
  <c r="I107" i="4"/>
  <c r="I120" i="4"/>
  <c r="I113" i="4"/>
  <c r="I126" i="4"/>
  <c r="I116" i="4"/>
  <c r="I111" i="4"/>
  <c r="K112" i="4"/>
  <c r="K121" i="4"/>
  <c r="K125" i="4"/>
  <c r="K115" i="4"/>
  <c r="K122" i="4"/>
  <c r="K108" i="4"/>
  <c r="K124" i="4"/>
  <c r="K114" i="4"/>
  <c r="K109" i="4"/>
  <c r="K107" i="4"/>
  <c r="K118" i="4"/>
  <c r="K120" i="4"/>
  <c r="K117" i="4"/>
  <c r="K123" i="4"/>
  <c r="K113" i="4"/>
  <c r="K126" i="4"/>
  <c r="K111" i="4"/>
  <c r="K116" i="4"/>
  <c r="K119" i="4"/>
  <c r="K110" i="4"/>
  <c r="Q13" i="1"/>
  <c r="R13" i="1" s="1"/>
  <c r="X40" i="1"/>
  <c r="N181" i="4"/>
  <c r="N177" i="4"/>
  <c r="N178" i="4"/>
  <c r="N179" i="4"/>
  <c r="N180" i="4"/>
  <c r="U40" i="1"/>
  <c r="N173" i="4"/>
  <c r="N174" i="4"/>
  <c r="N175" i="4"/>
  <c r="N176" i="4"/>
  <c r="N172" i="4"/>
  <c r="J119" i="4"/>
  <c r="J125" i="4"/>
  <c r="J112" i="4"/>
  <c r="J115" i="4"/>
  <c r="J122" i="4"/>
  <c r="J108" i="4"/>
  <c r="J118" i="4"/>
  <c r="J109" i="4"/>
  <c r="J114" i="4"/>
  <c r="J124" i="4"/>
  <c r="J117" i="4"/>
  <c r="J107" i="4"/>
  <c r="J121" i="4"/>
  <c r="J123" i="4"/>
  <c r="J120" i="4"/>
  <c r="J113" i="4"/>
  <c r="J111" i="4"/>
  <c r="J126" i="4"/>
  <c r="J116" i="4"/>
  <c r="J110" i="4"/>
  <c r="U39" i="1"/>
  <c r="N153" i="4"/>
  <c r="N154" i="4"/>
  <c r="N155" i="4"/>
  <c r="N156" i="4"/>
  <c r="N152" i="4"/>
  <c r="U37" i="1"/>
  <c r="N113" i="4"/>
  <c r="N114" i="4"/>
  <c r="N115" i="4"/>
  <c r="N116" i="4"/>
  <c r="N112" i="4"/>
  <c r="J141" i="4"/>
  <c r="J142" i="4"/>
  <c r="J138" i="4"/>
  <c r="J127" i="4"/>
  <c r="J145" i="4"/>
  <c r="J135" i="4"/>
  <c r="J132" i="4"/>
  <c r="J128" i="4"/>
  <c r="J140" i="4"/>
  <c r="J137" i="4"/>
  <c r="J144" i="4"/>
  <c r="J136" i="4"/>
  <c r="J146" i="4"/>
  <c r="J133" i="4"/>
  <c r="J129" i="4"/>
  <c r="J130" i="4"/>
  <c r="J131" i="4"/>
  <c r="J143" i="4"/>
  <c r="J134" i="4"/>
  <c r="J139" i="4"/>
  <c r="X39" i="1"/>
  <c r="N161" i="4"/>
  <c r="N157" i="4"/>
  <c r="N159" i="4"/>
  <c r="N160" i="4"/>
  <c r="N158" i="4"/>
  <c r="X37" i="1"/>
  <c r="N121" i="4"/>
  <c r="N117" i="4"/>
  <c r="N119" i="4"/>
  <c r="N120" i="4"/>
  <c r="N118" i="4"/>
  <c r="I138" i="4"/>
  <c r="I127" i="4"/>
  <c r="I135" i="4"/>
  <c r="I142" i="4"/>
  <c r="I141" i="4"/>
  <c r="I145" i="4"/>
  <c r="I132" i="4"/>
  <c r="I140" i="4"/>
  <c r="I137" i="4"/>
  <c r="I133" i="4"/>
  <c r="I144" i="4"/>
  <c r="I136" i="4"/>
  <c r="I128" i="4"/>
  <c r="I146" i="4"/>
  <c r="I129" i="4"/>
  <c r="I130" i="4"/>
  <c r="I131" i="4"/>
  <c r="I143" i="4"/>
  <c r="I134" i="4"/>
  <c r="I139" i="4"/>
  <c r="X38" i="1"/>
  <c r="N141" i="4"/>
  <c r="N137" i="4"/>
  <c r="N139" i="4"/>
  <c r="N138" i="4"/>
  <c r="N140" i="4"/>
  <c r="Q40" i="1"/>
  <c r="J179" i="4"/>
  <c r="J167" i="4"/>
  <c r="J171" i="4"/>
  <c r="J175" i="4"/>
  <c r="J172" i="4"/>
  <c r="J185" i="4"/>
  <c r="J182" i="4"/>
  <c r="J178" i="4"/>
  <c r="J170" i="4"/>
  <c r="J181" i="4"/>
  <c r="J177" i="4"/>
  <c r="J174" i="4"/>
  <c r="J168" i="4"/>
  <c r="J176" i="4"/>
  <c r="J183" i="4"/>
  <c r="J180" i="4"/>
  <c r="J186" i="4"/>
  <c r="J173" i="4"/>
  <c r="J169" i="4"/>
  <c r="J184" i="4"/>
  <c r="O133" i="4"/>
  <c r="O136" i="4"/>
  <c r="O132" i="4"/>
  <c r="O135" i="4"/>
  <c r="O134" i="4"/>
  <c r="U44" i="1"/>
  <c r="N93" i="4"/>
  <c r="N94" i="4"/>
  <c r="N95" i="4"/>
  <c r="N96" i="4"/>
  <c r="N92" i="4"/>
  <c r="J82" i="4"/>
  <c r="J72" i="4"/>
  <c r="J70" i="4"/>
  <c r="J85" i="4"/>
  <c r="J75" i="4"/>
  <c r="J67" i="4"/>
  <c r="J79" i="4"/>
  <c r="J71" i="4"/>
  <c r="J83" i="4"/>
  <c r="J73" i="4"/>
  <c r="J86" i="4"/>
  <c r="J76" i="4"/>
  <c r="J77" i="4"/>
  <c r="J80" i="4"/>
  <c r="J68" i="4"/>
  <c r="J84" i="4"/>
  <c r="J74" i="4"/>
  <c r="J69" i="4"/>
  <c r="J78" i="4"/>
  <c r="J81" i="4"/>
  <c r="J99" i="4"/>
  <c r="J92" i="4"/>
  <c r="J95" i="4"/>
  <c r="J105" i="4"/>
  <c r="J102" i="4"/>
  <c r="J101" i="4"/>
  <c r="J98" i="4"/>
  <c r="J93" i="4"/>
  <c r="J88" i="4"/>
  <c r="J96" i="4"/>
  <c r="J104" i="4"/>
  <c r="J89" i="4"/>
  <c r="J100" i="4"/>
  <c r="J90" i="4"/>
  <c r="J97" i="4"/>
  <c r="J94" i="4"/>
  <c r="J106" i="4"/>
  <c r="J91" i="4"/>
  <c r="J103" i="4"/>
  <c r="J87" i="4"/>
  <c r="X42" i="1"/>
  <c r="N61" i="4"/>
  <c r="N57" i="4"/>
  <c r="N58" i="4"/>
  <c r="N59" i="4"/>
  <c r="N60" i="4"/>
  <c r="X43" i="1"/>
  <c r="N81" i="4"/>
  <c r="N77" i="4"/>
  <c r="N78" i="4"/>
  <c r="N79" i="4"/>
  <c r="N80" i="4"/>
  <c r="U43" i="1"/>
  <c r="N73" i="4"/>
  <c r="N74" i="4"/>
  <c r="N75" i="4"/>
  <c r="N76" i="4"/>
  <c r="N72" i="4"/>
  <c r="X44" i="1"/>
  <c r="N101" i="4"/>
  <c r="N97" i="4"/>
  <c r="N98" i="4"/>
  <c r="N99" i="4"/>
  <c r="N100" i="4"/>
  <c r="X41" i="1"/>
  <c r="N38" i="4"/>
  <c r="N37" i="4"/>
  <c r="N41" i="4"/>
  <c r="N40" i="4"/>
  <c r="N39" i="4"/>
  <c r="K88" i="4"/>
  <c r="K92" i="4"/>
  <c r="K89" i="4"/>
  <c r="K105" i="4"/>
  <c r="K95" i="4"/>
  <c r="K90" i="4"/>
  <c r="K102" i="4"/>
  <c r="K91" i="4"/>
  <c r="K87" i="4"/>
  <c r="K101" i="4"/>
  <c r="K98" i="4"/>
  <c r="K93" i="4"/>
  <c r="K104" i="4"/>
  <c r="K96" i="4"/>
  <c r="K100" i="4"/>
  <c r="K97" i="4"/>
  <c r="K106" i="4"/>
  <c r="K94" i="4"/>
  <c r="K103" i="4"/>
  <c r="K99" i="4"/>
  <c r="U42" i="1"/>
  <c r="N53" i="4"/>
  <c r="N54" i="4"/>
  <c r="N55" i="4"/>
  <c r="N56" i="4"/>
  <c r="N52" i="4"/>
  <c r="R20" i="1"/>
  <c r="Q41" i="1"/>
  <c r="R41" i="1" s="1"/>
  <c r="K32" i="4"/>
  <c r="K31" i="4"/>
  <c r="K42" i="4"/>
  <c r="K27" i="4"/>
  <c r="K45" i="4"/>
  <c r="K36" i="4"/>
  <c r="K39" i="4"/>
  <c r="K33" i="4"/>
  <c r="K43" i="4"/>
  <c r="K28" i="4"/>
  <c r="K46" i="4"/>
  <c r="K37" i="4"/>
  <c r="K40" i="4"/>
  <c r="K34" i="4"/>
  <c r="K29" i="4"/>
  <c r="K44" i="4"/>
  <c r="K30" i="4"/>
  <c r="K38" i="4"/>
  <c r="K35" i="4"/>
  <c r="K41" i="4"/>
  <c r="K51" i="4"/>
  <c r="K65" i="4"/>
  <c r="K55" i="4"/>
  <c r="K62" i="4"/>
  <c r="K52" i="4"/>
  <c r="K47" i="4"/>
  <c r="K61" i="4"/>
  <c r="K58" i="4"/>
  <c r="K48" i="4"/>
  <c r="K64" i="4"/>
  <c r="K54" i="4"/>
  <c r="K60" i="4"/>
  <c r="K49" i="4"/>
  <c r="K57" i="4"/>
  <c r="K66" i="4"/>
  <c r="K56" i="4"/>
  <c r="K63" i="4"/>
  <c r="K53" i="4"/>
  <c r="K50" i="4"/>
  <c r="K59" i="4"/>
  <c r="K82" i="4"/>
  <c r="K72" i="4"/>
  <c r="K70" i="4"/>
  <c r="K67" i="4"/>
  <c r="K85" i="4"/>
  <c r="K75" i="4"/>
  <c r="K79" i="4"/>
  <c r="K71" i="4"/>
  <c r="K83" i="4"/>
  <c r="K73" i="4"/>
  <c r="K86" i="4"/>
  <c r="K76" i="4"/>
  <c r="K77" i="4"/>
  <c r="K80" i="4"/>
  <c r="K68" i="4"/>
  <c r="K84" i="4"/>
  <c r="K74" i="4"/>
  <c r="K69" i="4"/>
  <c r="K78" i="4"/>
  <c r="K81" i="4"/>
  <c r="U41" i="1"/>
  <c r="N33" i="4"/>
  <c r="N34" i="4"/>
  <c r="N35" i="4"/>
  <c r="N36" i="4"/>
  <c r="N32" i="4"/>
  <c r="J59" i="4"/>
  <c r="J47" i="4"/>
  <c r="J65" i="4"/>
  <c r="J55" i="4"/>
  <c r="J62" i="4"/>
  <c r="J52" i="4"/>
  <c r="J61" i="4"/>
  <c r="J58" i="4"/>
  <c r="J48" i="4"/>
  <c r="J64" i="4"/>
  <c r="J54" i="4"/>
  <c r="J49" i="4"/>
  <c r="J60" i="4"/>
  <c r="J57" i="4"/>
  <c r="J50" i="4"/>
  <c r="J66" i="4"/>
  <c r="J56" i="4"/>
  <c r="J63" i="4"/>
  <c r="J53" i="4"/>
  <c r="J51" i="4"/>
  <c r="X5" i="1"/>
  <c r="N15" i="4"/>
  <c r="N16" i="4"/>
  <c r="N12" i="4"/>
  <c r="N13" i="4"/>
  <c r="N14" i="4"/>
  <c r="Q5" i="1"/>
  <c r="R5" i="1" s="1"/>
  <c r="H16" i="4"/>
  <c r="H11" i="4"/>
  <c r="H19" i="4"/>
  <c r="H7" i="4"/>
  <c r="H17" i="4"/>
  <c r="H4" i="4"/>
  <c r="H13" i="4"/>
  <c r="H3" i="4"/>
  <c r="H21" i="4"/>
  <c r="H12" i="4"/>
  <c r="H5" i="4"/>
  <c r="H6" i="4"/>
  <c r="H15" i="4"/>
  <c r="H14" i="4"/>
  <c r="H9" i="4"/>
  <c r="H10" i="4"/>
  <c r="H20" i="4"/>
  <c r="H18" i="4"/>
  <c r="H2" i="4"/>
  <c r="H8" i="4"/>
  <c r="O9" i="4"/>
  <c r="O10" i="4"/>
  <c r="O8" i="4"/>
  <c r="O7" i="4"/>
  <c r="O11" i="4"/>
  <c r="Q6" i="1"/>
  <c r="R6" i="1" s="1"/>
  <c r="J22" i="4"/>
  <c r="Q43" i="1"/>
  <c r="R43" i="1" s="1"/>
  <c r="Q38" i="1"/>
  <c r="Q42" i="1"/>
  <c r="R9" i="1"/>
  <c r="Z9" i="1"/>
  <c r="AA9" i="1" s="1"/>
  <c r="R17" i="1"/>
  <c r="Z17" i="1"/>
  <c r="AA17" i="1" s="1"/>
  <c r="R24" i="1"/>
  <c r="Z24" i="1"/>
  <c r="AA24" i="1" s="1"/>
  <c r="R26" i="1"/>
  <c r="Z26" i="1"/>
  <c r="AA26" i="1" s="1"/>
  <c r="R45" i="1"/>
  <c r="Z45" i="1"/>
  <c r="AA45" i="1" s="1"/>
  <c r="R28" i="1"/>
  <c r="Z28" i="1"/>
  <c r="AA28" i="1" s="1"/>
  <c r="R46" i="1"/>
  <c r="Z46" i="1"/>
  <c r="AA46" i="1" s="1"/>
  <c r="R36" i="1"/>
  <c r="Z36" i="1"/>
  <c r="AA36" i="1" s="1"/>
  <c r="R27" i="1"/>
  <c r="Z27" i="1"/>
  <c r="AA27" i="1" s="1"/>
  <c r="R18" i="1"/>
  <c r="Z18" i="1"/>
  <c r="AA18" i="1" s="1"/>
  <c r="R42" i="1"/>
  <c r="Z42" i="1"/>
  <c r="R22" i="1"/>
  <c r="Z22" i="1"/>
  <c r="AA22" i="1" s="1"/>
  <c r="R31" i="1"/>
  <c r="Z31" i="1"/>
  <c r="AA31" i="1" s="1"/>
  <c r="R48" i="1"/>
  <c r="Z48" i="1"/>
  <c r="AA48" i="1" s="1"/>
  <c r="R12" i="1"/>
  <c r="Z12" i="1"/>
  <c r="AA12" i="1" s="1"/>
  <c r="R30" i="1"/>
  <c r="Z30" i="1"/>
  <c r="AA30" i="1" s="1"/>
  <c r="R14" i="1"/>
  <c r="Z14" i="1"/>
  <c r="AA14" i="1" s="1"/>
  <c r="Q37" i="1"/>
  <c r="R21" i="1"/>
  <c r="Z21" i="1"/>
  <c r="AA21" i="1" s="1"/>
  <c r="R35" i="1"/>
  <c r="Z35" i="1"/>
  <c r="AA35" i="1" s="1"/>
  <c r="R15" i="1"/>
  <c r="Z15" i="1"/>
  <c r="AA15" i="1" s="1"/>
  <c r="R23" i="1"/>
  <c r="Z23" i="1"/>
  <c r="AA23" i="1" s="1"/>
  <c r="R16" i="1"/>
  <c r="Z16" i="1"/>
  <c r="AA16" i="1" s="1"/>
  <c r="R39" i="1"/>
  <c r="Z39" i="1"/>
  <c r="R33" i="1"/>
  <c r="Z33" i="1"/>
  <c r="AA33" i="1" s="1"/>
  <c r="R47" i="1"/>
  <c r="Z47" i="1"/>
  <c r="AA47" i="1" s="1"/>
  <c r="R34" i="1"/>
  <c r="Z34" i="1"/>
  <c r="AA34" i="1" s="1"/>
  <c r="R32" i="1"/>
  <c r="Z32" i="1"/>
  <c r="AA32" i="1" s="1"/>
  <c r="R29" i="1"/>
  <c r="Z29" i="1"/>
  <c r="AA29" i="1" s="1"/>
  <c r="R25" i="1"/>
  <c r="Z25" i="1"/>
  <c r="AA25" i="1" s="1"/>
  <c r="R11" i="1"/>
  <c r="Z11" i="1"/>
  <c r="AA11" i="1" s="1"/>
  <c r="R19" i="1"/>
  <c r="Z19" i="1"/>
  <c r="AA19" i="1" s="1"/>
  <c r="R10" i="1"/>
  <c r="Z10" i="1"/>
  <c r="AA10" i="1" s="1"/>
  <c r="R8" i="1"/>
  <c r="Z8" i="1"/>
  <c r="AA8" i="1" s="1"/>
  <c r="R7" i="1"/>
  <c r="Z7" i="1"/>
  <c r="AA7" i="1" s="1"/>
  <c r="Q44" i="1"/>
  <c r="Q55" i="1"/>
  <c r="R55" i="1" s="1"/>
  <c r="Q53" i="1"/>
  <c r="R53" i="1" s="1"/>
  <c r="AA39" i="1" l="1"/>
  <c r="N166" i="4"/>
  <c r="N162" i="4"/>
  <c r="N163" i="4"/>
  <c r="N164" i="4"/>
  <c r="N165" i="4"/>
  <c r="O161" i="4"/>
  <c r="O157" i="4"/>
  <c r="O159" i="4"/>
  <c r="O160" i="4"/>
  <c r="O158" i="4"/>
  <c r="O148" i="4"/>
  <c r="O149" i="4"/>
  <c r="O150" i="4"/>
  <c r="O151" i="4"/>
  <c r="O147" i="4"/>
  <c r="O181" i="4"/>
  <c r="O177" i="4"/>
  <c r="O178" i="4"/>
  <c r="O179" i="4"/>
  <c r="O180" i="4"/>
  <c r="O141" i="4"/>
  <c r="O137" i="4"/>
  <c r="O139" i="4"/>
  <c r="O138" i="4"/>
  <c r="O140" i="4"/>
  <c r="N168" i="4"/>
  <c r="N169" i="4"/>
  <c r="N170" i="4"/>
  <c r="N167" i="4"/>
  <c r="N171" i="4"/>
  <c r="O114" i="4"/>
  <c r="O113" i="4"/>
  <c r="O115" i="4"/>
  <c r="O116" i="4"/>
  <c r="O112" i="4"/>
  <c r="N149" i="4"/>
  <c r="N148" i="4"/>
  <c r="N150" i="4"/>
  <c r="N151" i="4"/>
  <c r="N147" i="4"/>
  <c r="Z13" i="1"/>
  <c r="AA13" i="1" s="1"/>
  <c r="R38" i="1"/>
  <c r="N131" i="4"/>
  <c r="N127" i="4"/>
  <c r="N128" i="4"/>
  <c r="N129" i="4"/>
  <c r="N130" i="4"/>
  <c r="Z40" i="1"/>
  <c r="O154" i="4"/>
  <c r="O153" i="4"/>
  <c r="O155" i="4"/>
  <c r="O156" i="4"/>
  <c r="O152" i="4"/>
  <c r="R40" i="1"/>
  <c r="Z43" i="1"/>
  <c r="AA43" i="1" s="1"/>
  <c r="N111" i="4"/>
  <c r="N107" i="4"/>
  <c r="N110" i="4"/>
  <c r="N108" i="4"/>
  <c r="N109" i="4"/>
  <c r="O121" i="4"/>
  <c r="O117" i="4"/>
  <c r="O120" i="4"/>
  <c r="O119" i="4"/>
  <c r="O118" i="4"/>
  <c r="O174" i="4"/>
  <c r="O173" i="4"/>
  <c r="O175" i="4"/>
  <c r="O176" i="4"/>
  <c r="O172" i="4"/>
  <c r="O31" i="4"/>
  <c r="O27" i="4"/>
  <c r="O28" i="4"/>
  <c r="O29" i="4"/>
  <c r="O30" i="4"/>
  <c r="O73" i="4"/>
  <c r="O74" i="4"/>
  <c r="O75" i="4"/>
  <c r="O76" i="4"/>
  <c r="O72" i="4"/>
  <c r="O53" i="4"/>
  <c r="O54" i="4"/>
  <c r="O55" i="4"/>
  <c r="O56" i="4"/>
  <c r="O52" i="4"/>
  <c r="O37" i="4"/>
  <c r="O41" i="4"/>
  <c r="O40" i="4"/>
  <c r="O39" i="4"/>
  <c r="O38" i="4"/>
  <c r="N91" i="4"/>
  <c r="N87" i="4"/>
  <c r="N88" i="4"/>
  <c r="N89" i="4"/>
  <c r="N90" i="4"/>
  <c r="N51" i="4"/>
  <c r="N47" i="4"/>
  <c r="N48" i="4"/>
  <c r="N49" i="4"/>
  <c r="N50" i="4"/>
  <c r="Z5" i="1"/>
  <c r="N21" i="4" s="1"/>
  <c r="O51" i="4"/>
  <c r="O47" i="4"/>
  <c r="O48" i="4"/>
  <c r="O49" i="4"/>
  <c r="O50" i="4"/>
  <c r="O68" i="4"/>
  <c r="O69" i="4"/>
  <c r="O70" i="4"/>
  <c r="O71" i="4"/>
  <c r="O67" i="4"/>
  <c r="O101" i="4"/>
  <c r="O97" i="4"/>
  <c r="O98" i="4"/>
  <c r="O99" i="4"/>
  <c r="O100" i="4"/>
  <c r="Z6" i="1"/>
  <c r="AA6" i="1" s="1"/>
  <c r="N31" i="4"/>
  <c r="N27" i="4"/>
  <c r="N28" i="4"/>
  <c r="N29" i="4"/>
  <c r="N30" i="4"/>
  <c r="O81" i="4"/>
  <c r="O77" i="4"/>
  <c r="O78" i="4"/>
  <c r="O79" i="4"/>
  <c r="O80" i="4"/>
  <c r="O61" i="4"/>
  <c r="O57" i="4"/>
  <c r="O58" i="4"/>
  <c r="O59" i="4"/>
  <c r="O60" i="4"/>
  <c r="AA42" i="1"/>
  <c r="N63" i="4"/>
  <c r="N64" i="4"/>
  <c r="N65" i="4"/>
  <c r="N66" i="4"/>
  <c r="N62" i="4"/>
  <c r="N82" i="4"/>
  <c r="N68" i="4"/>
  <c r="N69" i="4"/>
  <c r="N70" i="4"/>
  <c r="N71" i="4"/>
  <c r="N67" i="4"/>
  <c r="O33" i="4"/>
  <c r="O34" i="4"/>
  <c r="O35" i="4"/>
  <c r="O36" i="4"/>
  <c r="O32" i="4"/>
  <c r="Z41" i="1"/>
  <c r="O93" i="4"/>
  <c r="O94" i="4"/>
  <c r="O95" i="4"/>
  <c r="O96" i="4"/>
  <c r="O92" i="4"/>
  <c r="Z38" i="1"/>
  <c r="N3" i="4"/>
  <c r="N5" i="4"/>
  <c r="N6" i="4"/>
  <c r="N2" i="4"/>
  <c r="N4" i="4"/>
  <c r="O2" i="4"/>
  <c r="O3" i="4"/>
  <c r="O4" i="4"/>
  <c r="O5" i="4"/>
  <c r="O6" i="4"/>
  <c r="O12" i="4"/>
  <c r="O13" i="4"/>
  <c r="O15" i="4"/>
  <c r="O16" i="4"/>
  <c r="O14" i="4"/>
  <c r="R37" i="1"/>
  <c r="Z37" i="1"/>
  <c r="R44" i="1"/>
  <c r="Z44" i="1"/>
  <c r="N86" i="4" l="1"/>
  <c r="AA37" i="1"/>
  <c r="N123" i="4"/>
  <c r="N124" i="4"/>
  <c r="N125" i="4"/>
  <c r="N126" i="4"/>
  <c r="N122" i="4"/>
  <c r="N85" i="4"/>
  <c r="O111" i="4"/>
  <c r="O110" i="4"/>
  <c r="O108" i="4"/>
  <c r="O107" i="4"/>
  <c r="O109" i="4"/>
  <c r="N84" i="4"/>
  <c r="N83" i="4"/>
  <c r="O169" i="4"/>
  <c r="O168" i="4"/>
  <c r="O170" i="4"/>
  <c r="O171" i="4"/>
  <c r="O167" i="4"/>
  <c r="N20" i="4"/>
  <c r="N19" i="4"/>
  <c r="N18" i="4"/>
  <c r="AA40" i="1"/>
  <c r="N183" i="4"/>
  <c r="N184" i="4"/>
  <c r="N185" i="4"/>
  <c r="N182" i="4"/>
  <c r="N186" i="4"/>
  <c r="AA5" i="1"/>
  <c r="O131" i="4"/>
  <c r="O127" i="4"/>
  <c r="O128" i="4"/>
  <c r="O129" i="4"/>
  <c r="O130" i="4"/>
  <c r="AA38" i="1"/>
  <c r="N143" i="4"/>
  <c r="N144" i="4"/>
  <c r="N145" i="4"/>
  <c r="N146" i="4"/>
  <c r="N142" i="4"/>
  <c r="O166" i="4"/>
  <c r="O162" i="4"/>
  <c r="O163" i="4"/>
  <c r="O164" i="4"/>
  <c r="O165" i="4"/>
  <c r="O83" i="4"/>
  <c r="O84" i="4"/>
  <c r="O85" i="4"/>
  <c r="O86" i="4"/>
  <c r="O82" i="4"/>
  <c r="AA44" i="1"/>
  <c r="N103" i="4"/>
  <c r="N104" i="4"/>
  <c r="N105" i="4"/>
  <c r="N106" i="4"/>
  <c r="N102" i="4"/>
  <c r="O91" i="4"/>
  <c r="O87" i="4"/>
  <c r="O88" i="4"/>
  <c r="O89" i="4"/>
  <c r="O90" i="4"/>
  <c r="AA41" i="1"/>
  <c r="N46" i="4"/>
  <c r="N45" i="4"/>
  <c r="N44" i="4"/>
  <c r="N43" i="4"/>
  <c r="N42" i="4"/>
  <c r="O63" i="4"/>
  <c r="O64" i="4"/>
  <c r="O65" i="4"/>
  <c r="O66" i="4"/>
  <c r="O62" i="4"/>
  <c r="N17" i="4"/>
  <c r="O18" i="4"/>
  <c r="O20" i="4"/>
  <c r="O21" i="4"/>
  <c r="O17" i="4"/>
  <c r="O19" i="4"/>
  <c r="O184" i="4" l="1"/>
  <c r="O183" i="4"/>
  <c r="O185" i="4"/>
  <c r="O186" i="4"/>
  <c r="O182" i="4"/>
  <c r="O144" i="4"/>
  <c r="O143" i="4"/>
  <c r="O145" i="4"/>
  <c r="O146" i="4"/>
  <c r="O142" i="4"/>
  <c r="O124" i="4"/>
  <c r="O123" i="4"/>
  <c r="O125" i="4"/>
  <c r="O126" i="4"/>
  <c r="O122" i="4"/>
  <c r="O46" i="4"/>
  <c r="O45" i="4"/>
  <c r="O44" i="4"/>
  <c r="O43" i="4"/>
  <c r="O42" i="4"/>
  <c r="O103" i="4"/>
  <c r="O104" i="4"/>
  <c r="O105" i="4"/>
  <c r="O106" i="4"/>
  <c r="O102" i="4"/>
</calcChain>
</file>

<file path=xl/sharedStrings.xml><?xml version="1.0" encoding="utf-8"?>
<sst xmlns="http://schemas.openxmlformats.org/spreadsheetml/2006/main" count="2230" uniqueCount="119">
  <si>
    <t>Capacity Dashboard</t>
  </si>
  <si>
    <t>Areas</t>
  </si>
  <si>
    <t>Yearly</t>
  </si>
  <si>
    <t>Daily</t>
  </si>
  <si>
    <t>Shift</t>
  </si>
  <si>
    <t xml:space="preserve">Monthly </t>
  </si>
  <si>
    <t>Fiscal Year</t>
  </si>
  <si>
    <t>Value Strem</t>
  </si>
  <si>
    <t>Coils</t>
  </si>
  <si>
    <t>Ecxiters</t>
  </si>
  <si>
    <t>RF</t>
  </si>
  <si>
    <t>WC</t>
  </si>
  <si>
    <t>FA</t>
  </si>
  <si>
    <t>Total capacity / Shift</t>
  </si>
  <si>
    <t>Operational Shift Plan</t>
  </si>
  <si>
    <t>Capacity in 1st</t>
  </si>
  <si>
    <t>Capacity in 2nd</t>
  </si>
  <si>
    <t>Capacity in 3rd</t>
  </si>
  <si>
    <t>Capacity in 4th</t>
  </si>
  <si>
    <t>Yearly Demand</t>
  </si>
  <si>
    <t>Yearly Capacity</t>
  </si>
  <si>
    <t>Diff</t>
  </si>
  <si>
    <t>Daily Demand</t>
  </si>
  <si>
    <t>Daily Capacity</t>
  </si>
  <si>
    <t>Shift Demand</t>
  </si>
  <si>
    <t>Shift Capacity</t>
  </si>
  <si>
    <t>Monthly Demand</t>
  </si>
  <si>
    <t>Monthly Capacity</t>
  </si>
  <si>
    <t>Notes</t>
  </si>
  <si>
    <t>FY26</t>
  </si>
  <si>
    <t>42 - 44</t>
  </si>
  <si>
    <t>FY27</t>
  </si>
  <si>
    <t>FY28</t>
  </si>
  <si>
    <t>FY29</t>
  </si>
  <si>
    <t>46's</t>
  </si>
  <si>
    <t>47's</t>
  </si>
  <si>
    <t>49's</t>
  </si>
  <si>
    <t>450's</t>
  </si>
  <si>
    <t>500's</t>
  </si>
  <si>
    <t>1200 / 930</t>
  </si>
  <si>
    <t>1400 / 50.2</t>
  </si>
  <si>
    <t>1600 / 641</t>
  </si>
  <si>
    <t>1800's</t>
  </si>
  <si>
    <t>841's</t>
  </si>
  <si>
    <t>Lex Support</t>
  </si>
  <si>
    <t xml:space="preserve">.- Agregar una mesa extra de ensamble al area de Exciters. 
.- Habilitar ambas roll dip al 100% para todas las familias. </t>
  </si>
  <si>
    <t>FY Order</t>
  </si>
  <si>
    <t>Value Stream</t>
  </si>
  <si>
    <t>Area</t>
  </si>
  <si>
    <t>Capacity / Area</t>
  </si>
  <si>
    <t>Total Capacity / Shift</t>
  </si>
  <si>
    <t>Demand Type</t>
  </si>
  <si>
    <t>Demand</t>
  </si>
  <si>
    <t>Capacity</t>
  </si>
  <si>
    <t>42-44</t>
  </si>
  <si>
    <t>Exciters</t>
  </si>
  <si>
    <t>Monthly</t>
  </si>
  <si>
    <t>POWER Business - INDUSTRIAL MASTER PLAN</t>
  </si>
  <si>
    <t>Customer DEMAND By Frame &amp; LV/MHV</t>
  </si>
  <si>
    <t> </t>
  </si>
  <si>
    <t>Region</t>
  </si>
  <si>
    <t>LV/MHV</t>
  </si>
  <si>
    <t>cust.</t>
  </si>
  <si>
    <t>Frame</t>
  </si>
  <si>
    <t>FY25</t>
  </si>
  <si>
    <t>FY30</t>
  </si>
  <si>
    <t>Source</t>
  </si>
  <si>
    <t>EMEA</t>
  </si>
  <si>
    <t>LV</t>
  </si>
  <si>
    <t>mixed on olo 2</t>
  </si>
  <si>
    <t>MHV</t>
  </si>
  <si>
    <t>61 4P</t>
  </si>
  <si>
    <t>ASIA</t>
  </si>
  <si>
    <t>Asia</t>
  </si>
  <si>
    <t>CAT</t>
  </si>
  <si>
    <t>CAT CN</t>
  </si>
  <si>
    <t>US</t>
  </si>
  <si>
    <t>2700/3000</t>
  </si>
  <si>
    <t>CAT US</t>
  </si>
  <si>
    <t>56 equ</t>
  </si>
  <si>
    <t>58 equ</t>
  </si>
  <si>
    <t>INDIA</t>
  </si>
  <si>
    <t>India</t>
  </si>
  <si>
    <t>WTG G54/55</t>
  </si>
  <si>
    <t xml:space="preserve">         -  </t>
  </si>
  <si>
    <t>1800 RW</t>
  </si>
  <si>
    <t>54.2/55</t>
  </si>
  <si>
    <t xml:space="preserve"> -   </t>
  </si>
  <si>
    <t>Solar</t>
  </si>
  <si>
    <t xml:space="preserve">US </t>
  </si>
  <si>
    <t>Reynosa</t>
  </si>
  <si>
    <t>Rehlko</t>
  </si>
  <si>
    <t>LSA 54</t>
  </si>
  <si>
    <t xml:space="preserve">                 -  </t>
  </si>
  <si>
    <t>RR</t>
  </si>
  <si>
    <t>Others</t>
  </si>
  <si>
    <t>1800 FW</t>
  </si>
  <si>
    <t xml:space="preserve">Total </t>
  </si>
  <si>
    <t>by month 1800's</t>
  </si>
  <si>
    <t>Lexington</t>
  </si>
  <si>
    <t>Other</t>
  </si>
  <si>
    <t>Generac / Other</t>
  </si>
  <si>
    <t>54 / 941</t>
  </si>
  <si>
    <t>Total</t>
  </si>
  <si>
    <t>Mankato</t>
  </si>
  <si>
    <t>4P9.X</t>
  </si>
  <si>
    <t>4P6.X</t>
  </si>
  <si>
    <t>8P6.5 Truck Traction</t>
  </si>
  <si>
    <t>4P10.7</t>
  </si>
  <si>
    <t>4P12.1</t>
  </si>
  <si>
    <t>4P63.5</t>
  </si>
  <si>
    <t>4P86</t>
  </si>
  <si>
    <t>DTO</t>
  </si>
  <si>
    <t>Locomotive</t>
  </si>
  <si>
    <t>Large / XL</t>
  </si>
  <si>
    <t>MG</t>
  </si>
  <si>
    <t>Defense</t>
  </si>
  <si>
    <t>XE</t>
  </si>
  <si>
    <t>Units Capacity  by Shitf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</si>
</sst>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_);[Red]\(0.0\)"/>
    <numFmt numFmtId="165" formatCode="0_);[Red]\(0\)"/>
    <numFmt numFmtId="166" formatCode="0.0"/>
  </numFmts>
  <fonts count="1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22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11"/>
      <color rgb="FF00B0F0"/>
      <name val="Calibri"/>
      <family val="2"/>
    </font>
    <font>
      <sz val="11"/>
      <name val="Calibri"/>
      <family val="2"/>
    </font>
    <font>
      <sz val="24"/>
      <color rgb="FF000000"/>
      <name val="Calibri"/>
      <family val="2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9" tint="0.79998168889431442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0" fillId="0" borderId="15" xfId="0" applyBorder="1"/>
    <xf numFmtId="164" fontId="0" fillId="0" borderId="1" xfId="0" applyNumberFormat="1" applyBorder="1"/>
    <xf numFmtId="164" fontId="0" fillId="0" borderId="8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5" fontId="0" fillId="0" borderId="1" xfId="0" applyNumberFormat="1" applyBorder="1"/>
    <xf numFmtId="165" fontId="0" fillId="0" borderId="5" xfId="0" applyNumberFormat="1" applyBorder="1"/>
    <xf numFmtId="165" fontId="0" fillId="0" borderId="10" xfId="0" applyNumberFormat="1" applyBorder="1"/>
    <xf numFmtId="0" fontId="0" fillId="0" borderId="16" xfId="0" applyBorder="1"/>
    <xf numFmtId="0" fontId="0" fillId="0" borderId="17" xfId="0" applyBorder="1"/>
    <xf numFmtId="0" fontId="3" fillId="5" borderId="14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2" borderId="39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vertical="center"/>
    </xf>
    <xf numFmtId="0" fontId="8" fillId="6" borderId="53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164" fontId="0" fillId="0" borderId="0" xfId="0" applyNumberFormat="1"/>
    <xf numFmtId="0" fontId="9" fillId="3" borderId="58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0" fillId="8" borderId="0" xfId="0" applyFont="1" applyFill="1"/>
    <xf numFmtId="0" fontId="12" fillId="0" borderId="0" xfId="0" applyFont="1"/>
    <xf numFmtId="0" fontId="10" fillId="10" borderId="0" xfId="0" applyFont="1" applyFill="1"/>
    <xf numFmtId="0" fontId="14" fillId="0" borderId="0" xfId="0" applyFont="1"/>
    <xf numFmtId="0" fontId="10" fillId="11" borderId="0" xfId="0" applyFont="1" applyFill="1"/>
    <xf numFmtId="0" fontId="15" fillId="0" borderId="0" xfId="0" applyFont="1"/>
    <xf numFmtId="0" fontId="15" fillId="8" borderId="0" xfId="0" applyFont="1" applyFill="1"/>
    <xf numFmtId="3" fontId="15" fillId="0" borderId="0" xfId="0" applyNumberFormat="1" applyFont="1"/>
    <xf numFmtId="0" fontId="10" fillId="12" borderId="0" xfId="0" applyFont="1" applyFill="1"/>
    <xf numFmtId="3" fontId="10" fillId="12" borderId="0" xfId="0" applyNumberFormat="1" applyFont="1" applyFill="1"/>
    <xf numFmtId="3" fontId="10" fillId="0" borderId="0" xfId="0" applyNumberFormat="1" applyFont="1"/>
    <xf numFmtId="3" fontId="10" fillId="10" borderId="0" xfId="0" applyNumberFormat="1" applyFont="1" applyFill="1"/>
    <xf numFmtId="0" fontId="10" fillId="8" borderId="0" xfId="0" applyFont="1" applyFill="1" applyAlignment="1">
      <alignment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165" fontId="0" fillId="0" borderId="40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5" fontId="4" fillId="0" borderId="26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5" fontId="0" fillId="0" borderId="28" xfId="0" applyNumberFormat="1" applyBorder="1" applyAlignment="1">
      <alignment horizontal="center" vertical="center"/>
    </xf>
    <xf numFmtId="165" fontId="0" fillId="0" borderId="38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5" fontId="4" fillId="0" borderId="28" xfId="0" applyNumberFormat="1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65" fontId="0" fillId="0" borderId="30" xfId="0" applyNumberFormat="1" applyBorder="1" applyAlignment="1">
      <alignment horizontal="center" vertical="center"/>
    </xf>
    <xf numFmtId="165" fontId="0" fillId="0" borderId="41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165" fontId="4" fillId="0" borderId="30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165" fontId="0" fillId="0" borderId="33" xfId="0" applyNumberFormat="1" applyBorder="1" applyAlignment="1">
      <alignment horizontal="center" vertical="center"/>
    </xf>
    <xf numFmtId="165" fontId="0" fillId="0" borderId="45" xfId="0" applyNumberFormat="1" applyBorder="1" applyAlignment="1">
      <alignment horizontal="center" vertical="center"/>
    </xf>
    <xf numFmtId="165" fontId="0" fillId="0" borderId="32" xfId="0" applyNumberForma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9" fillId="0" borderId="0" xfId="0" applyFont="1"/>
    <xf numFmtId="0" fontId="17" fillId="0" borderId="0" xfId="0" applyFont="1" applyAlignment="1">
      <alignment wrapText="1"/>
    </xf>
    <xf numFmtId="0" fontId="4" fillId="0" borderId="2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5" fontId="4" fillId="0" borderId="61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5" fontId="4" fillId="0" borderId="20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5" fontId="4" fillId="0" borderId="6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64" fontId="0" fillId="0" borderId="40" xfId="0" applyNumberFormat="1" applyBorder="1" applyAlignment="1">
      <alignment horizontal="center" vertical="center"/>
    </xf>
    <xf numFmtId="166" fontId="0" fillId="0" borderId="1" xfId="0" applyNumberFormat="1" applyBorder="1"/>
    <xf numFmtId="0" fontId="0" fillId="0" borderId="64" xfId="0" applyBorder="1"/>
    <xf numFmtId="0" fontId="0" fillId="0" borderId="2" xfId="0" applyBorder="1"/>
    <xf numFmtId="1" fontId="0" fillId="0" borderId="1" xfId="0" applyNumberFormat="1" applyBorder="1"/>
    <xf numFmtId="0" fontId="4" fillId="14" borderId="36" xfId="0" applyFont="1" applyFill="1" applyBorder="1" applyAlignment="1">
      <alignment horizontal="center" vertical="center"/>
    </xf>
    <xf numFmtId="0" fontId="4" fillId="14" borderId="34" xfId="0" applyFont="1" applyFill="1" applyBorder="1" applyAlignment="1">
      <alignment horizontal="center" vertical="center"/>
    </xf>
    <xf numFmtId="0" fontId="4" fillId="14" borderId="37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center"/>
    </xf>
    <xf numFmtId="0" fontId="0" fillId="0" borderId="58" xfId="0" applyBorder="1"/>
    <xf numFmtId="0" fontId="0" fillId="0" borderId="65" xfId="0" applyBorder="1"/>
    <xf numFmtId="1" fontId="0" fillId="0" borderId="2" xfId="0" applyNumberFormat="1" applyBorder="1"/>
    <xf numFmtId="1" fontId="0" fillId="0" borderId="58" xfId="0" applyNumberFormat="1" applyBorder="1"/>
    <xf numFmtId="0" fontId="0" fillId="0" borderId="34" xfId="0" applyBorder="1"/>
    <xf numFmtId="0" fontId="0" fillId="0" borderId="66" xfId="0" applyBorder="1"/>
    <xf numFmtId="166" fontId="0" fillId="0" borderId="58" xfId="0" applyNumberFormat="1" applyBorder="1"/>
    <xf numFmtId="1" fontId="0" fillId="0" borderId="66" xfId="0" applyNumberFormat="1" applyBorder="1"/>
    <xf numFmtId="0" fontId="0" fillId="0" borderId="43" xfId="0" applyBorder="1"/>
    <xf numFmtId="166" fontId="0" fillId="0" borderId="66" xfId="0" applyNumberFormat="1" applyBorder="1"/>
    <xf numFmtId="1" fontId="0" fillId="0" borderId="67" xfId="0" applyNumberFormat="1" applyBorder="1"/>
    <xf numFmtId="0" fontId="0" fillId="0" borderId="68" xfId="0" applyBorder="1"/>
    <xf numFmtId="1" fontId="0" fillId="0" borderId="69" xfId="0" applyNumberFormat="1" applyBorder="1"/>
    <xf numFmtId="0" fontId="0" fillId="0" borderId="70" xfId="0" applyBorder="1"/>
    <xf numFmtId="0" fontId="6" fillId="2" borderId="47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9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/>
    </xf>
    <xf numFmtId="0" fontId="10" fillId="7" borderId="0" xfId="0" applyFont="1" applyFill="1"/>
    <xf numFmtId="0" fontId="13" fillId="9" borderId="0" xfId="0" applyFont="1" applyFill="1" applyAlignment="1">
      <alignment textRotation="90"/>
    </xf>
    <xf numFmtId="0" fontId="16" fillId="0" borderId="0" xfId="0" applyFont="1" applyAlignment="1">
      <alignment textRotation="90"/>
    </xf>
    <xf numFmtId="0" fontId="16" fillId="13" borderId="0" xfId="0" applyFont="1" applyFill="1" applyAlignment="1">
      <alignment textRotation="90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BE34D63-82E3-41F5-9A3D-C8AC3F5EAE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AC33-FCA3-4AA9-8517-1BFD8F288628}">
  <dimension ref="C1:AB60"/>
  <sheetViews>
    <sheetView tabSelected="1" zoomScale="85" zoomScaleNormal="85" workbookViewId="0">
      <pane ySplit="4" topLeftCell="A5" activePane="bottomLeft" state="frozen"/>
      <selection activeCell="D1" sqref="D1"/>
      <selection pane="bottomLeft" activeCell="E4" sqref="E4"/>
    </sheetView>
  </sheetViews>
  <sheetFormatPr defaultRowHeight="15" customHeight="1" x14ac:dyDescent="0.35"/>
  <cols>
    <col min="3" max="3" width="11.26953125" bestFit="1" customWidth="1"/>
    <col min="4" max="4" width="12.453125" bestFit="1" customWidth="1"/>
    <col min="5" max="9" width="9" customWidth="1"/>
    <col min="10" max="10" width="14.1796875" customWidth="1"/>
    <col min="11" max="11" width="12.453125" customWidth="1"/>
    <col min="16" max="16" width="10.81640625" customWidth="1"/>
    <col min="17" max="18" width="9.26953125" bestFit="1" customWidth="1"/>
    <col min="19" max="21" width="9.26953125" customWidth="1"/>
    <col min="28" max="28" width="58.453125" hidden="1" customWidth="1"/>
  </cols>
  <sheetData>
    <row r="1" spans="3:28" ht="16" x14ac:dyDescent="0.35">
      <c r="C1" s="180" t="s">
        <v>0</v>
      </c>
      <c r="D1" s="180"/>
      <c r="E1" s="180"/>
      <c r="F1" s="180"/>
      <c r="G1" s="180"/>
      <c r="H1" s="180"/>
      <c r="I1" s="180"/>
      <c r="L1" s="15">
        <v>190</v>
      </c>
      <c r="M1" s="15">
        <v>190</v>
      </c>
      <c r="N1" s="15">
        <v>70</v>
      </c>
      <c r="O1" s="15">
        <v>70</v>
      </c>
      <c r="Y1" s="49">
        <v>17</v>
      </c>
      <c r="Z1" s="49">
        <v>23</v>
      </c>
      <c r="AA1" s="49">
        <v>29</v>
      </c>
    </row>
    <row r="2" spans="3:28" s="16" customFormat="1" ht="22.15" customHeight="1" x14ac:dyDescent="0.35">
      <c r="E2" s="185" t="s">
        <v>1</v>
      </c>
      <c r="F2" s="186"/>
      <c r="G2" s="186"/>
      <c r="H2" s="186"/>
      <c r="I2" s="186"/>
      <c r="J2" s="187"/>
      <c r="L2" s="181" t="s">
        <v>118</v>
      </c>
      <c r="M2" s="181"/>
      <c r="N2" s="181"/>
      <c r="O2" s="182"/>
      <c r="P2" s="177" t="s">
        <v>2</v>
      </c>
      <c r="Q2" s="178"/>
      <c r="R2" s="179"/>
      <c r="S2" s="183" t="s">
        <v>3</v>
      </c>
      <c r="T2" s="178"/>
      <c r="U2" s="184"/>
      <c r="V2" s="177" t="s">
        <v>4</v>
      </c>
      <c r="W2" s="178"/>
      <c r="X2" s="179"/>
      <c r="Y2" s="174" t="s">
        <v>5</v>
      </c>
      <c r="Z2" s="175"/>
      <c r="AA2" s="176"/>
    </row>
    <row r="3" spans="3:28" s="16" customFormat="1" ht="5.25" customHeight="1" x14ac:dyDescent="0.35">
      <c r="E3" s="37"/>
      <c r="J3" s="38"/>
      <c r="P3" s="37"/>
      <c r="R3" s="38"/>
      <c r="V3" s="37"/>
      <c r="X3" s="38"/>
    </row>
    <row r="4" spans="3:28" ht="32.65" customHeight="1" x14ac:dyDescent="0.35">
      <c r="C4" s="19" t="s">
        <v>6</v>
      </c>
      <c r="D4" s="45" t="s">
        <v>7</v>
      </c>
      <c r="E4" s="39" t="s">
        <v>8</v>
      </c>
      <c r="F4" s="17" t="s">
        <v>9</v>
      </c>
      <c r="G4" s="17" t="s">
        <v>10</v>
      </c>
      <c r="H4" s="17" t="s">
        <v>11</v>
      </c>
      <c r="I4" s="17" t="s">
        <v>12</v>
      </c>
      <c r="J4" s="68" t="s">
        <v>13</v>
      </c>
      <c r="K4" s="46" t="s">
        <v>14</v>
      </c>
      <c r="L4" s="44" t="s">
        <v>15</v>
      </c>
      <c r="M4" s="18" t="s">
        <v>16</v>
      </c>
      <c r="N4" s="18" t="s">
        <v>17</v>
      </c>
      <c r="O4" s="42" t="s">
        <v>18</v>
      </c>
      <c r="P4" s="47" t="s">
        <v>19</v>
      </c>
      <c r="Q4" s="65" t="s">
        <v>20</v>
      </c>
      <c r="R4" s="40" t="s">
        <v>21</v>
      </c>
      <c r="S4" s="66" t="s">
        <v>22</v>
      </c>
      <c r="T4" s="65" t="s">
        <v>23</v>
      </c>
      <c r="U4" s="41" t="s">
        <v>21</v>
      </c>
      <c r="V4" s="67" t="s">
        <v>24</v>
      </c>
      <c r="W4" s="65" t="s">
        <v>25</v>
      </c>
      <c r="X4" s="40" t="s">
        <v>21</v>
      </c>
      <c r="Y4" s="66" t="s">
        <v>26</v>
      </c>
      <c r="Z4" s="65" t="s">
        <v>27</v>
      </c>
      <c r="AA4" s="41" t="s">
        <v>21</v>
      </c>
      <c r="AB4" s="43" t="s">
        <v>28</v>
      </c>
    </row>
    <row r="5" spans="3:28" ht="16" x14ac:dyDescent="0.35">
      <c r="C5" s="159" t="s">
        <v>29</v>
      </c>
      <c r="D5" s="146" t="s">
        <v>30</v>
      </c>
      <c r="E5" s="69"/>
      <c r="F5" s="70">
        <v>4.5</v>
      </c>
      <c r="G5" s="70">
        <v>4</v>
      </c>
      <c r="H5" s="70">
        <v>4</v>
      </c>
      <c r="I5" s="70">
        <v>4</v>
      </c>
      <c r="J5" s="71">
        <f>MIN(G5:I5)</f>
        <v>4</v>
      </c>
      <c r="K5" s="72">
        <v>1</v>
      </c>
      <c r="L5" s="73">
        <f>IF($K5=1,$J5*L$1,"")</f>
        <v>760</v>
      </c>
      <c r="M5" s="70" t="str">
        <f>IF($K5=2,$J5*(M$1+L$1),"")</f>
        <v/>
      </c>
      <c r="N5" s="70" t="str">
        <f t="shared" ref="N5:N44" si="0">IF($K5=3,$J5*(L$1+M$1+N$1),"")</f>
        <v/>
      </c>
      <c r="O5" s="74" t="str">
        <f t="shared" ref="O5:O44" si="1">IF($K5=4,$J5*(L$1+M$1+N$1+O$1),"")</f>
        <v/>
      </c>
      <c r="P5" s="128">
        <v>800</v>
      </c>
      <c r="Q5" s="129">
        <f t="shared" ref="Q5:Q44" si="2">SUM(L5:O5)</f>
        <v>760</v>
      </c>
      <c r="R5" s="81">
        <f>Q5-P5</f>
        <v>-40</v>
      </c>
      <c r="S5" s="151">
        <f>IFERROR(($P5/(IF($K5=1,$L$1,(IF($K5=2,($M$1),(IF($K5=3,($L$1+($N$1/2)),(IF($K5=4,($L$1+$N$1)))))))))),"")</f>
        <v>4.2105263157894735</v>
      </c>
      <c r="T5" s="79">
        <f>J5*K5</f>
        <v>4</v>
      </c>
      <c r="U5" s="79">
        <f>IFERROR((T5-S5),"")</f>
        <v>-0.21052631578947345</v>
      </c>
      <c r="V5" s="78">
        <f>IFERROR(($P5/(IF($K5=1,$L$1,(IF($K5=2,($L$1+$M$1),(IF($K5=3,($L$1+$M$1+$N$1),(IF($K5=4,($L$1+$M$1+$N$1+$O$1)))))))))),"")</f>
        <v>4.2105263157894735</v>
      </c>
      <c r="W5" s="79">
        <f>J5</f>
        <v>4</v>
      </c>
      <c r="X5" s="80">
        <f>IFERROR((W5-V5),"")</f>
        <v>-0.21052631578947345</v>
      </c>
      <c r="Y5" s="81">
        <f>P5/11.75</f>
        <v>68.085106382978722</v>
      </c>
      <c r="Z5" s="81">
        <f>Q5/11.75</f>
        <v>64.680851063829792</v>
      </c>
      <c r="AA5" s="75">
        <f>Z5-Y5</f>
        <v>-3.4042553191489304</v>
      </c>
    </row>
    <row r="6" spans="3:28" ht="16" x14ac:dyDescent="0.35">
      <c r="C6" s="147" t="s">
        <v>31</v>
      </c>
      <c r="D6" s="148" t="s">
        <v>30</v>
      </c>
      <c r="E6" s="82"/>
      <c r="F6" s="83"/>
      <c r="G6" s="83"/>
      <c r="H6" s="83"/>
      <c r="I6" s="83"/>
      <c r="J6" s="84">
        <f t="shared" ref="J6:J8" si="3">MIN(G6:I6)</f>
        <v>0</v>
      </c>
      <c r="K6" s="85">
        <v>0</v>
      </c>
      <c r="L6" s="86" t="str">
        <f t="shared" ref="L6:L48" si="4">IF($K6=1,$J6*L$1,"")</f>
        <v/>
      </c>
      <c r="M6" s="83" t="str">
        <f t="shared" ref="M6:M44" si="5">IF($K6=2,$J6*(M$1+L$1),"")</f>
        <v/>
      </c>
      <c r="N6" s="83" t="str">
        <f t="shared" si="0"/>
        <v/>
      </c>
      <c r="O6" s="87" t="str">
        <f t="shared" si="1"/>
        <v/>
      </c>
      <c r="P6" s="130"/>
      <c r="Q6" s="131">
        <f t="shared" si="2"/>
        <v>0</v>
      </c>
      <c r="R6" s="94">
        <f t="shared" ref="R6:R44" si="6">Q6-P6</f>
        <v>0</v>
      </c>
      <c r="S6" s="89" t="str">
        <f t="shared" ref="S6:S48" si="7">IFERROR(($P6/(IF($K6=1,$L$1,(IF($K6=2,($M$1),(IF($K6=3,($L$1+($N$1/2)),(IF($K6=4,($L$1+$N$1)))))))))),"")</f>
        <v/>
      </c>
      <c r="T6" s="90">
        <f t="shared" ref="T6:T59" si="8">J6*2</f>
        <v>0</v>
      </c>
      <c r="U6" s="90" t="str">
        <f t="shared" ref="U6:U48" si="9">IFERROR((T6-S6),"")</f>
        <v/>
      </c>
      <c r="V6" s="91" t="str">
        <f t="shared" ref="V6:V44" si="10">IFERROR((P6/(IF($K6=1,L$1,(IF($K6=2,(L$1+M$1),(IF($K6=3,(L$1+M$1+N$1),(IF($K6=4,(L$1+M$1+N$1+O$1)))))))))),"")</f>
        <v/>
      </c>
      <c r="W6" s="92">
        <f t="shared" ref="W6:W44" si="11">J6</f>
        <v>0</v>
      </c>
      <c r="X6" s="93" t="str">
        <f t="shared" ref="X6:X44" si="12">IFERROR((W6-V6),"")</f>
        <v/>
      </c>
      <c r="Y6" s="94">
        <f t="shared" ref="Y6:Y48" si="13">P6/11.75</f>
        <v>0</v>
      </c>
      <c r="Z6" s="94">
        <f t="shared" ref="Z6:Z48" si="14">Q6/11.75</f>
        <v>0</v>
      </c>
      <c r="AA6" s="88">
        <f t="shared" ref="AA6:AA48" si="15">Z6-Y6</f>
        <v>0</v>
      </c>
    </row>
    <row r="7" spans="3:28" ht="16" x14ac:dyDescent="0.35">
      <c r="C7" s="147" t="s">
        <v>32</v>
      </c>
      <c r="D7" s="148" t="s">
        <v>30</v>
      </c>
      <c r="E7" s="82"/>
      <c r="F7" s="83"/>
      <c r="G7" s="83"/>
      <c r="H7" s="83"/>
      <c r="I7" s="83"/>
      <c r="J7" s="84">
        <f t="shared" si="3"/>
        <v>0</v>
      </c>
      <c r="K7" s="85">
        <v>0</v>
      </c>
      <c r="L7" s="86" t="str">
        <f t="shared" si="4"/>
        <v/>
      </c>
      <c r="M7" s="83" t="str">
        <f t="shared" si="5"/>
        <v/>
      </c>
      <c r="N7" s="83" t="str">
        <f t="shared" si="0"/>
        <v/>
      </c>
      <c r="O7" s="87" t="str">
        <f t="shared" si="1"/>
        <v/>
      </c>
      <c r="P7" s="130"/>
      <c r="Q7" s="131">
        <f t="shared" si="2"/>
        <v>0</v>
      </c>
      <c r="R7" s="94">
        <f t="shared" si="6"/>
        <v>0</v>
      </c>
      <c r="S7" s="89" t="str">
        <f t="shared" si="7"/>
        <v/>
      </c>
      <c r="T7" s="90">
        <f t="shared" si="8"/>
        <v>0</v>
      </c>
      <c r="U7" s="90" t="str">
        <f t="shared" si="9"/>
        <v/>
      </c>
      <c r="V7" s="91" t="str">
        <f t="shared" si="10"/>
        <v/>
      </c>
      <c r="W7" s="92">
        <f t="shared" si="11"/>
        <v>0</v>
      </c>
      <c r="X7" s="93" t="str">
        <f t="shared" si="12"/>
        <v/>
      </c>
      <c r="Y7" s="94">
        <f t="shared" si="13"/>
        <v>0</v>
      </c>
      <c r="Z7" s="94">
        <f t="shared" si="14"/>
        <v>0</v>
      </c>
      <c r="AA7" s="88">
        <f t="shared" si="15"/>
        <v>0</v>
      </c>
    </row>
    <row r="8" spans="3:28" ht="16" x14ac:dyDescent="0.35">
      <c r="C8" s="149" t="s">
        <v>33</v>
      </c>
      <c r="D8" s="150" t="s">
        <v>30</v>
      </c>
      <c r="E8" s="96"/>
      <c r="F8" s="97"/>
      <c r="G8" s="97"/>
      <c r="H8" s="97"/>
      <c r="I8" s="97"/>
      <c r="J8" s="98">
        <f t="shared" si="3"/>
        <v>0</v>
      </c>
      <c r="K8" s="99">
        <v>0</v>
      </c>
      <c r="L8" s="100" t="str">
        <f t="shared" si="4"/>
        <v/>
      </c>
      <c r="M8" s="97" t="str">
        <f t="shared" si="5"/>
        <v/>
      </c>
      <c r="N8" s="97" t="str">
        <f t="shared" si="0"/>
        <v/>
      </c>
      <c r="O8" s="95" t="str">
        <f t="shared" si="1"/>
        <v/>
      </c>
      <c r="P8" s="132"/>
      <c r="Q8" s="133">
        <f t="shared" si="2"/>
        <v>0</v>
      </c>
      <c r="R8" s="107">
        <f t="shared" si="6"/>
        <v>0</v>
      </c>
      <c r="S8" s="102" t="str">
        <f t="shared" si="7"/>
        <v/>
      </c>
      <c r="T8" s="103">
        <f t="shared" si="8"/>
        <v>0</v>
      </c>
      <c r="U8" s="103" t="str">
        <f t="shared" si="9"/>
        <v/>
      </c>
      <c r="V8" s="104" t="str">
        <f t="shared" si="10"/>
        <v/>
      </c>
      <c r="W8" s="105">
        <f t="shared" si="11"/>
        <v>0</v>
      </c>
      <c r="X8" s="106" t="str">
        <f t="shared" si="12"/>
        <v/>
      </c>
      <c r="Y8" s="107">
        <f t="shared" si="13"/>
        <v>0</v>
      </c>
      <c r="Z8" s="107">
        <f t="shared" si="14"/>
        <v>0</v>
      </c>
      <c r="AA8" s="101">
        <f t="shared" si="15"/>
        <v>0</v>
      </c>
    </row>
    <row r="9" spans="3:28" ht="16" x14ac:dyDescent="0.35">
      <c r="C9" s="145" t="s">
        <v>29</v>
      </c>
      <c r="D9" s="146" t="s">
        <v>34</v>
      </c>
      <c r="E9" s="69"/>
      <c r="F9" s="70">
        <v>2.5</v>
      </c>
      <c r="G9" s="70">
        <v>2.5</v>
      </c>
      <c r="H9" s="70">
        <v>2.5</v>
      </c>
      <c r="I9" s="108">
        <v>2.5</v>
      </c>
      <c r="J9" s="71">
        <f>MIN(G9:I9)</f>
        <v>2.5</v>
      </c>
      <c r="K9" s="72">
        <v>2</v>
      </c>
      <c r="L9" s="73" t="str">
        <f t="shared" si="4"/>
        <v/>
      </c>
      <c r="M9" s="70">
        <f t="shared" si="5"/>
        <v>950</v>
      </c>
      <c r="N9" s="70" t="str">
        <f t="shared" si="0"/>
        <v/>
      </c>
      <c r="O9" s="74" t="str">
        <f t="shared" si="1"/>
        <v/>
      </c>
      <c r="P9" s="128">
        <v>822</v>
      </c>
      <c r="Q9" s="129">
        <f t="shared" si="2"/>
        <v>950</v>
      </c>
      <c r="R9" s="81">
        <f t="shared" si="6"/>
        <v>128</v>
      </c>
      <c r="S9" s="76">
        <f t="shared" si="7"/>
        <v>4.3263157894736839</v>
      </c>
      <c r="T9" s="77">
        <f t="shared" si="8"/>
        <v>5</v>
      </c>
      <c r="U9" s="77">
        <f t="shared" si="9"/>
        <v>0.67368421052631611</v>
      </c>
      <c r="V9" s="78">
        <f t="shared" si="10"/>
        <v>2.1631578947368419</v>
      </c>
      <c r="W9" s="79">
        <f t="shared" si="11"/>
        <v>2.5</v>
      </c>
      <c r="X9" s="80">
        <f t="shared" si="12"/>
        <v>0.33684210526315805</v>
      </c>
      <c r="Y9" s="81">
        <f t="shared" si="13"/>
        <v>69.957446808510639</v>
      </c>
      <c r="Z9" s="81">
        <f t="shared" si="14"/>
        <v>80.851063829787236</v>
      </c>
      <c r="AA9" s="75">
        <f t="shared" si="15"/>
        <v>10.893617021276597</v>
      </c>
    </row>
    <row r="10" spans="3:28" ht="16" x14ac:dyDescent="0.35">
      <c r="C10" s="147" t="s">
        <v>31</v>
      </c>
      <c r="D10" s="148" t="s">
        <v>34</v>
      </c>
      <c r="E10" s="82"/>
      <c r="F10" s="83">
        <v>2.5</v>
      </c>
      <c r="G10" s="83">
        <v>2.5</v>
      </c>
      <c r="H10" s="83">
        <v>2.5</v>
      </c>
      <c r="I10" s="109">
        <v>2.5</v>
      </c>
      <c r="J10" s="84">
        <f t="shared" ref="J10:J12" si="16">MIN(G10:I10)</f>
        <v>2.5</v>
      </c>
      <c r="K10" s="85">
        <v>2</v>
      </c>
      <c r="L10" s="86" t="str">
        <f t="shared" si="4"/>
        <v/>
      </c>
      <c r="M10" s="83">
        <f t="shared" si="5"/>
        <v>950</v>
      </c>
      <c r="N10" s="83" t="str">
        <f t="shared" si="0"/>
        <v/>
      </c>
      <c r="O10" s="87" t="str">
        <f t="shared" si="1"/>
        <v/>
      </c>
      <c r="P10" s="130">
        <v>822</v>
      </c>
      <c r="Q10" s="131">
        <f t="shared" si="2"/>
        <v>950</v>
      </c>
      <c r="R10" s="94">
        <f t="shared" si="6"/>
        <v>128</v>
      </c>
      <c r="S10" s="89">
        <f t="shared" si="7"/>
        <v>4.3263157894736839</v>
      </c>
      <c r="T10" s="90">
        <f t="shared" si="8"/>
        <v>5</v>
      </c>
      <c r="U10" s="90">
        <f t="shared" si="9"/>
        <v>0.67368421052631611</v>
      </c>
      <c r="V10" s="91">
        <f t="shared" si="10"/>
        <v>2.1631578947368419</v>
      </c>
      <c r="W10" s="92">
        <f t="shared" si="11"/>
        <v>2.5</v>
      </c>
      <c r="X10" s="93">
        <f t="shared" si="12"/>
        <v>0.33684210526315805</v>
      </c>
      <c r="Y10" s="94">
        <f t="shared" si="13"/>
        <v>69.957446808510639</v>
      </c>
      <c r="Z10" s="94">
        <f t="shared" si="14"/>
        <v>80.851063829787236</v>
      </c>
      <c r="AA10" s="88">
        <f t="shared" si="15"/>
        <v>10.893617021276597</v>
      </c>
    </row>
    <row r="11" spans="3:28" ht="16" x14ac:dyDescent="0.35">
      <c r="C11" s="147" t="s">
        <v>32</v>
      </c>
      <c r="D11" s="148" t="s">
        <v>34</v>
      </c>
      <c r="E11" s="82"/>
      <c r="F11" s="83"/>
      <c r="G11" s="83"/>
      <c r="H11" s="83"/>
      <c r="I11" s="109"/>
      <c r="J11" s="84">
        <f t="shared" si="16"/>
        <v>0</v>
      </c>
      <c r="K11" s="85"/>
      <c r="L11" s="86" t="str">
        <f t="shared" si="4"/>
        <v/>
      </c>
      <c r="M11" s="83" t="str">
        <f t="shared" si="5"/>
        <v/>
      </c>
      <c r="N11" s="83" t="str">
        <f t="shared" si="0"/>
        <v/>
      </c>
      <c r="O11" s="87" t="str">
        <f t="shared" si="1"/>
        <v/>
      </c>
      <c r="P11" s="130"/>
      <c r="Q11" s="131">
        <f t="shared" si="2"/>
        <v>0</v>
      </c>
      <c r="R11" s="94">
        <f t="shared" si="6"/>
        <v>0</v>
      </c>
      <c r="S11" s="89" t="str">
        <f t="shared" si="7"/>
        <v/>
      </c>
      <c r="T11" s="90">
        <f t="shared" si="8"/>
        <v>0</v>
      </c>
      <c r="U11" s="90" t="str">
        <f t="shared" si="9"/>
        <v/>
      </c>
      <c r="V11" s="91" t="str">
        <f t="shared" si="10"/>
        <v/>
      </c>
      <c r="W11" s="92">
        <f t="shared" si="11"/>
        <v>0</v>
      </c>
      <c r="X11" s="93" t="str">
        <f t="shared" si="12"/>
        <v/>
      </c>
      <c r="Y11" s="94">
        <f t="shared" si="13"/>
        <v>0</v>
      </c>
      <c r="Z11" s="94">
        <f t="shared" si="14"/>
        <v>0</v>
      </c>
      <c r="AA11" s="88">
        <f t="shared" si="15"/>
        <v>0</v>
      </c>
    </row>
    <row r="12" spans="3:28" ht="16" x14ac:dyDescent="0.35">
      <c r="C12" s="149" t="s">
        <v>33</v>
      </c>
      <c r="D12" s="150" t="s">
        <v>34</v>
      </c>
      <c r="E12" s="96"/>
      <c r="F12" s="97"/>
      <c r="G12" s="97"/>
      <c r="H12" s="97"/>
      <c r="I12" s="110"/>
      <c r="J12" s="98">
        <f t="shared" si="16"/>
        <v>0</v>
      </c>
      <c r="K12" s="99"/>
      <c r="L12" s="100" t="str">
        <f t="shared" si="4"/>
        <v/>
      </c>
      <c r="M12" s="97" t="str">
        <f t="shared" si="5"/>
        <v/>
      </c>
      <c r="N12" s="97" t="str">
        <f t="shared" si="0"/>
        <v/>
      </c>
      <c r="O12" s="95" t="str">
        <f t="shared" si="1"/>
        <v/>
      </c>
      <c r="P12" s="132"/>
      <c r="Q12" s="133">
        <f t="shared" si="2"/>
        <v>0</v>
      </c>
      <c r="R12" s="107">
        <f t="shared" si="6"/>
        <v>0</v>
      </c>
      <c r="S12" s="102" t="str">
        <f t="shared" si="7"/>
        <v/>
      </c>
      <c r="T12" s="103">
        <f t="shared" si="8"/>
        <v>0</v>
      </c>
      <c r="U12" s="103" t="str">
        <f t="shared" si="9"/>
        <v/>
      </c>
      <c r="V12" s="104" t="str">
        <f t="shared" si="10"/>
        <v/>
      </c>
      <c r="W12" s="105">
        <f t="shared" si="11"/>
        <v>0</v>
      </c>
      <c r="X12" s="106" t="str">
        <f t="shared" si="12"/>
        <v/>
      </c>
      <c r="Y12" s="107">
        <f t="shared" si="13"/>
        <v>0</v>
      </c>
      <c r="Z12" s="107">
        <f t="shared" si="14"/>
        <v>0</v>
      </c>
      <c r="AA12" s="101">
        <f t="shared" si="15"/>
        <v>0</v>
      </c>
    </row>
    <row r="13" spans="3:28" ht="16" x14ac:dyDescent="0.35">
      <c r="C13" s="145" t="s">
        <v>29</v>
      </c>
      <c r="D13" s="146" t="s">
        <v>35</v>
      </c>
      <c r="E13" s="69"/>
      <c r="F13" s="70">
        <v>5</v>
      </c>
      <c r="G13" s="70">
        <v>5</v>
      </c>
      <c r="H13" s="70">
        <v>5</v>
      </c>
      <c r="I13" s="108">
        <v>5</v>
      </c>
      <c r="J13" s="71">
        <f>MIN(G13:I13)</f>
        <v>5</v>
      </c>
      <c r="K13" s="72">
        <v>2</v>
      </c>
      <c r="L13" s="73" t="str">
        <f t="shared" si="4"/>
        <v/>
      </c>
      <c r="M13" s="70">
        <f t="shared" si="5"/>
        <v>1900</v>
      </c>
      <c r="N13" s="70" t="str">
        <f t="shared" si="0"/>
        <v/>
      </c>
      <c r="O13" s="74" t="str">
        <f t="shared" si="1"/>
        <v/>
      </c>
      <c r="P13" s="128">
        <v>1800</v>
      </c>
      <c r="Q13" s="129">
        <f t="shared" si="2"/>
        <v>1900</v>
      </c>
      <c r="R13" s="81">
        <f t="shared" si="6"/>
        <v>100</v>
      </c>
      <c r="S13" s="76">
        <f t="shared" si="7"/>
        <v>9.473684210526315</v>
      </c>
      <c r="T13" s="77">
        <f t="shared" si="8"/>
        <v>10</v>
      </c>
      <c r="U13" s="77">
        <f t="shared" si="9"/>
        <v>0.52631578947368496</v>
      </c>
      <c r="V13" s="78">
        <f t="shared" si="10"/>
        <v>4.7368421052631575</v>
      </c>
      <c r="W13" s="79">
        <f t="shared" si="11"/>
        <v>5</v>
      </c>
      <c r="X13" s="80">
        <f t="shared" si="12"/>
        <v>0.26315789473684248</v>
      </c>
      <c r="Y13" s="81">
        <f t="shared" si="13"/>
        <v>153.19148936170214</v>
      </c>
      <c r="Z13" s="81">
        <f t="shared" si="14"/>
        <v>161.70212765957447</v>
      </c>
      <c r="AA13" s="75">
        <f t="shared" si="15"/>
        <v>8.5106382978723332</v>
      </c>
    </row>
    <row r="14" spans="3:28" ht="16" x14ac:dyDescent="0.35">
      <c r="C14" s="147" t="s">
        <v>31</v>
      </c>
      <c r="D14" s="148" t="s">
        <v>35</v>
      </c>
      <c r="E14" s="82"/>
      <c r="F14" s="83">
        <v>5</v>
      </c>
      <c r="G14" s="83">
        <v>5</v>
      </c>
      <c r="H14" s="83">
        <v>5</v>
      </c>
      <c r="I14" s="109">
        <v>5</v>
      </c>
      <c r="J14" s="84">
        <f t="shared" ref="J14:J16" si="17">MIN(G14:I14)</f>
        <v>5</v>
      </c>
      <c r="K14" s="85">
        <v>2</v>
      </c>
      <c r="L14" s="86" t="str">
        <f t="shared" si="4"/>
        <v/>
      </c>
      <c r="M14" s="83">
        <f t="shared" si="5"/>
        <v>1900</v>
      </c>
      <c r="N14" s="83" t="str">
        <f t="shared" si="0"/>
        <v/>
      </c>
      <c r="O14" s="87" t="str">
        <f t="shared" si="1"/>
        <v/>
      </c>
      <c r="P14" s="130">
        <v>1800</v>
      </c>
      <c r="Q14" s="131">
        <f t="shared" si="2"/>
        <v>1900</v>
      </c>
      <c r="R14" s="94">
        <f t="shared" si="6"/>
        <v>100</v>
      </c>
      <c r="S14" s="89">
        <f t="shared" si="7"/>
        <v>9.473684210526315</v>
      </c>
      <c r="T14" s="90">
        <f t="shared" si="8"/>
        <v>10</v>
      </c>
      <c r="U14" s="90">
        <f t="shared" si="9"/>
        <v>0.52631578947368496</v>
      </c>
      <c r="V14" s="91">
        <f t="shared" si="10"/>
        <v>4.7368421052631575</v>
      </c>
      <c r="W14" s="92">
        <f t="shared" si="11"/>
        <v>5</v>
      </c>
      <c r="X14" s="93">
        <f t="shared" si="12"/>
        <v>0.26315789473684248</v>
      </c>
      <c r="Y14" s="94">
        <f t="shared" si="13"/>
        <v>153.19148936170214</v>
      </c>
      <c r="Z14" s="94">
        <f t="shared" si="14"/>
        <v>161.70212765957447</v>
      </c>
      <c r="AA14" s="88">
        <f t="shared" si="15"/>
        <v>8.5106382978723332</v>
      </c>
    </row>
    <row r="15" spans="3:28" ht="16" x14ac:dyDescent="0.35">
      <c r="C15" s="147" t="s">
        <v>32</v>
      </c>
      <c r="D15" s="148" t="s">
        <v>35</v>
      </c>
      <c r="E15" s="82"/>
      <c r="F15" s="83"/>
      <c r="G15" s="83"/>
      <c r="H15" s="83"/>
      <c r="I15" s="109"/>
      <c r="J15" s="84">
        <f t="shared" si="17"/>
        <v>0</v>
      </c>
      <c r="K15" s="85"/>
      <c r="L15" s="86" t="str">
        <f t="shared" si="4"/>
        <v/>
      </c>
      <c r="M15" s="83" t="str">
        <f t="shared" si="5"/>
        <v/>
      </c>
      <c r="N15" s="83" t="str">
        <f t="shared" si="0"/>
        <v/>
      </c>
      <c r="O15" s="87" t="str">
        <f t="shared" si="1"/>
        <v/>
      </c>
      <c r="P15" s="130"/>
      <c r="Q15" s="131">
        <f t="shared" si="2"/>
        <v>0</v>
      </c>
      <c r="R15" s="94">
        <f t="shared" si="6"/>
        <v>0</v>
      </c>
      <c r="S15" s="89" t="str">
        <f t="shared" si="7"/>
        <v/>
      </c>
      <c r="T15" s="90">
        <f t="shared" si="8"/>
        <v>0</v>
      </c>
      <c r="U15" s="90" t="str">
        <f t="shared" si="9"/>
        <v/>
      </c>
      <c r="V15" s="91" t="str">
        <f t="shared" si="10"/>
        <v/>
      </c>
      <c r="W15" s="92">
        <f t="shared" si="11"/>
        <v>0</v>
      </c>
      <c r="X15" s="93" t="str">
        <f t="shared" si="12"/>
        <v/>
      </c>
      <c r="Y15" s="94">
        <f t="shared" si="13"/>
        <v>0</v>
      </c>
      <c r="Z15" s="94">
        <f t="shared" si="14"/>
        <v>0</v>
      </c>
      <c r="AA15" s="88">
        <f t="shared" si="15"/>
        <v>0</v>
      </c>
    </row>
    <row r="16" spans="3:28" ht="16" x14ac:dyDescent="0.35">
      <c r="C16" s="149" t="s">
        <v>33</v>
      </c>
      <c r="D16" s="150" t="s">
        <v>35</v>
      </c>
      <c r="E16" s="96"/>
      <c r="F16" s="97"/>
      <c r="G16" s="97"/>
      <c r="H16" s="97"/>
      <c r="I16" s="110"/>
      <c r="J16" s="98">
        <f t="shared" si="17"/>
        <v>0</v>
      </c>
      <c r="K16" s="99"/>
      <c r="L16" s="100" t="str">
        <f t="shared" si="4"/>
        <v/>
      </c>
      <c r="M16" s="97" t="str">
        <f t="shared" si="5"/>
        <v/>
      </c>
      <c r="N16" s="97" t="str">
        <f t="shared" si="0"/>
        <v/>
      </c>
      <c r="O16" s="95" t="str">
        <f t="shared" si="1"/>
        <v/>
      </c>
      <c r="P16" s="132"/>
      <c r="Q16" s="133">
        <f t="shared" si="2"/>
        <v>0</v>
      </c>
      <c r="R16" s="107">
        <f t="shared" si="6"/>
        <v>0</v>
      </c>
      <c r="S16" s="102" t="str">
        <f t="shared" si="7"/>
        <v/>
      </c>
      <c r="T16" s="103">
        <f t="shared" si="8"/>
        <v>0</v>
      </c>
      <c r="U16" s="103" t="str">
        <f t="shared" si="9"/>
        <v/>
      </c>
      <c r="V16" s="104" t="str">
        <f t="shared" si="10"/>
        <v/>
      </c>
      <c r="W16" s="105">
        <f t="shared" si="11"/>
        <v>0</v>
      </c>
      <c r="X16" s="106" t="str">
        <f t="shared" si="12"/>
        <v/>
      </c>
      <c r="Y16" s="107">
        <f t="shared" si="13"/>
        <v>0</v>
      </c>
      <c r="Z16" s="107">
        <f t="shared" si="14"/>
        <v>0</v>
      </c>
      <c r="AA16" s="101">
        <f t="shared" si="15"/>
        <v>0</v>
      </c>
    </row>
    <row r="17" spans="3:27" ht="16" x14ac:dyDescent="0.35">
      <c r="C17" s="145" t="s">
        <v>29</v>
      </c>
      <c r="D17" s="146" t="s">
        <v>36</v>
      </c>
      <c r="E17" s="69"/>
      <c r="F17" s="70">
        <v>2.5</v>
      </c>
      <c r="G17" s="70">
        <v>2.5</v>
      </c>
      <c r="H17" s="70">
        <v>2.5</v>
      </c>
      <c r="I17" s="108">
        <v>2.5</v>
      </c>
      <c r="J17" s="71">
        <f>MIN(G17:I17)</f>
        <v>2.5</v>
      </c>
      <c r="K17" s="72">
        <v>2</v>
      </c>
      <c r="L17" s="73" t="str">
        <f t="shared" si="4"/>
        <v/>
      </c>
      <c r="M17" s="70">
        <f t="shared" si="5"/>
        <v>950</v>
      </c>
      <c r="N17" s="70" t="str">
        <f t="shared" si="0"/>
        <v/>
      </c>
      <c r="O17" s="74" t="str">
        <f t="shared" si="1"/>
        <v/>
      </c>
      <c r="P17" s="128">
        <v>800</v>
      </c>
      <c r="Q17" s="129">
        <f t="shared" si="2"/>
        <v>950</v>
      </c>
      <c r="R17" s="81">
        <f t="shared" si="6"/>
        <v>150</v>
      </c>
      <c r="S17" s="76">
        <f t="shared" si="7"/>
        <v>4.2105263157894735</v>
      </c>
      <c r="T17" s="77">
        <f t="shared" si="8"/>
        <v>5</v>
      </c>
      <c r="U17" s="77">
        <f t="shared" si="9"/>
        <v>0.78947368421052655</v>
      </c>
      <c r="V17" s="78">
        <f t="shared" si="10"/>
        <v>2.1052631578947367</v>
      </c>
      <c r="W17" s="79">
        <f t="shared" si="11"/>
        <v>2.5</v>
      </c>
      <c r="X17" s="80">
        <f t="shared" si="12"/>
        <v>0.39473684210526327</v>
      </c>
      <c r="Y17" s="81">
        <f t="shared" si="13"/>
        <v>68.085106382978722</v>
      </c>
      <c r="Z17" s="81">
        <f t="shared" si="14"/>
        <v>80.851063829787236</v>
      </c>
      <c r="AA17" s="75">
        <f t="shared" si="15"/>
        <v>12.765957446808514</v>
      </c>
    </row>
    <row r="18" spans="3:27" ht="16" x14ac:dyDescent="0.35">
      <c r="C18" s="147" t="s">
        <v>31</v>
      </c>
      <c r="D18" s="148" t="s">
        <v>36</v>
      </c>
      <c r="E18" s="82"/>
      <c r="F18" s="83">
        <v>2.5</v>
      </c>
      <c r="G18" s="83">
        <v>2.5</v>
      </c>
      <c r="H18" s="83">
        <v>2.5</v>
      </c>
      <c r="I18" s="109">
        <v>2.5</v>
      </c>
      <c r="J18" s="84">
        <f t="shared" ref="J18:J20" si="18">MIN(G18:I18)</f>
        <v>2.5</v>
      </c>
      <c r="K18" s="85">
        <v>2</v>
      </c>
      <c r="L18" s="86" t="str">
        <f t="shared" si="4"/>
        <v/>
      </c>
      <c r="M18" s="83">
        <f t="shared" si="5"/>
        <v>950</v>
      </c>
      <c r="N18" s="83" t="str">
        <f t="shared" si="0"/>
        <v/>
      </c>
      <c r="O18" s="87" t="str">
        <f t="shared" si="1"/>
        <v/>
      </c>
      <c r="P18" s="130">
        <v>800</v>
      </c>
      <c r="Q18" s="131">
        <f t="shared" si="2"/>
        <v>950</v>
      </c>
      <c r="R18" s="94">
        <f t="shared" si="6"/>
        <v>150</v>
      </c>
      <c r="S18" s="89">
        <f t="shared" si="7"/>
        <v>4.2105263157894735</v>
      </c>
      <c r="T18" s="90">
        <f t="shared" si="8"/>
        <v>5</v>
      </c>
      <c r="U18" s="90">
        <f t="shared" si="9"/>
        <v>0.78947368421052655</v>
      </c>
      <c r="V18" s="91">
        <f t="shared" si="10"/>
        <v>2.1052631578947367</v>
      </c>
      <c r="W18" s="92">
        <f t="shared" si="11"/>
        <v>2.5</v>
      </c>
      <c r="X18" s="93">
        <f t="shared" si="12"/>
        <v>0.39473684210526327</v>
      </c>
      <c r="Y18" s="94">
        <f t="shared" si="13"/>
        <v>68.085106382978722</v>
      </c>
      <c r="Z18" s="94">
        <f t="shared" si="14"/>
        <v>80.851063829787236</v>
      </c>
      <c r="AA18" s="88">
        <f t="shared" si="15"/>
        <v>12.765957446808514</v>
      </c>
    </row>
    <row r="19" spans="3:27" ht="16" x14ac:dyDescent="0.35">
      <c r="C19" s="147" t="s">
        <v>32</v>
      </c>
      <c r="D19" s="148" t="s">
        <v>36</v>
      </c>
      <c r="E19" s="82"/>
      <c r="F19" s="83"/>
      <c r="G19" s="83"/>
      <c r="H19" s="83"/>
      <c r="I19" s="109"/>
      <c r="J19" s="84">
        <f t="shared" si="18"/>
        <v>0</v>
      </c>
      <c r="K19" s="85"/>
      <c r="L19" s="86" t="str">
        <f t="shared" si="4"/>
        <v/>
      </c>
      <c r="M19" s="83" t="str">
        <f t="shared" si="5"/>
        <v/>
      </c>
      <c r="N19" s="83" t="str">
        <f t="shared" si="0"/>
        <v/>
      </c>
      <c r="O19" s="87" t="str">
        <f t="shared" si="1"/>
        <v/>
      </c>
      <c r="P19" s="130"/>
      <c r="Q19" s="131">
        <f t="shared" si="2"/>
        <v>0</v>
      </c>
      <c r="R19" s="94">
        <f t="shared" si="6"/>
        <v>0</v>
      </c>
      <c r="S19" s="89" t="str">
        <f t="shared" si="7"/>
        <v/>
      </c>
      <c r="T19" s="90">
        <f t="shared" si="8"/>
        <v>0</v>
      </c>
      <c r="U19" s="90" t="str">
        <f t="shared" si="9"/>
        <v/>
      </c>
      <c r="V19" s="91" t="str">
        <f t="shared" si="10"/>
        <v/>
      </c>
      <c r="W19" s="92">
        <f t="shared" si="11"/>
        <v>0</v>
      </c>
      <c r="X19" s="93" t="str">
        <f t="shared" si="12"/>
        <v/>
      </c>
      <c r="Y19" s="94">
        <f t="shared" si="13"/>
        <v>0</v>
      </c>
      <c r="Z19" s="94">
        <f t="shared" si="14"/>
        <v>0</v>
      </c>
      <c r="AA19" s="88">
        <f t="shared" si="15"/>
        <v>0</v>
      </c>
    </row>
    <row r="20" spans="3:27" ht="16" x14ac:dyDescent="0.35">
      <c r="C20" s="149" t="s">
        <v>33</v>
      </c>
      <c r="D20" s="150" t="s">
        <v>36</v>
      </c>
      <c r="E20" s="96"/>
      <c r="F20" s="97"/>
      <c r="G20" s="97"/>
      <c r="H20" s="97"/>
      <c r="I20" s="110"/>
      <c r="J20" s="98">
        <f t="shared" si="18"/>
        <v>0</v>
      </c>
      <c r="K20" s="99"/>
      <c r="L20" s="100" t="str">
        <f t="shared" si="4"/>
        <v/>
      </c>
      <c r="M20" s="97" t="str">
        <f t="shared" si="5"/>
        <v/>
      </c>
      <c r="N20" s="97" t="str">
        <f t="shared" si="0"/>
        <v/>
      </c>
      <c r="O20" s="95" t="str">
        <f t="shared" si="1"/>
        <v/>
      </c>
      <c r="P20" s="132"/>
      <c r="Q20" s="133">
        <f t="shared" si="2"/>
        <v>0</v>
      </c>
      <c r="R20" s="107">
        <f t="shared" si="6"/>
        <v>0</v>
      </c>
      <c r="S20" s="102" t="str">
        <f t="shared" si="7"/>
        <v/>
      </c>
      <c r="T20" s="103">
        <f t="shared" si="8"/>
        <v>0</v>
      </c>
      <c r="U20" s="103" t="str">
        <f t="shared" si="9"/>
        <v/>
      </c>
      <c r="V20" s="104" t="str">
        <f t="shared" si="10"/>
        <v/>
      </c>
      <c r="W20" s="105">
        <f t="shared" si="11"/>
        <v>0</v>
      </c>
      <c r="X20" s="106" t="str">
        <f t="shared" si="12"/>
        <v/>
      </c>
      <c r="Y20" s="107">
        <f t="shared" si="13"/>
        <v>0</v>
      </c>
      <c r="Z20" s="107">
        <f t="shared" si="14"/>
        <v>0</v>
      </c>
      <c r="AA20" s="101">
        <f t="shared" si="15"/>
        <v>0</v>
      </c>
    </row>
    <row r="21" spans="3:27" ht="16" x14ac:dyDescent="0.35">
      <c r="C21" s="145" t="s">
        <v>29</v>
      </c>
      <c r="D21" s="146" t="s">
        <v>37</v>
      </c>
      <c r="E21" s="69"/>
      <c r="F21" s="70">
        <v>1</v>
      </c>
      <c r="G21" s="70">
        <v>1</v>
      </c>
      <c r="H21" s="70">
        <v>1</v>
      </c>
      <c r="I21" s="108">
        <v>1</v>
      </c>
      <c r="J21" s="71">
        <f>MIN(G21:I21)</f>
        <v>1</v>
      </c>
      <c r="K21" s="72">
        <v>1</v>
      </c>
      <c r="L21" s="73">
        <f t="shared" si="4"/>
        <v>190</v>
      </c>
      <c r="M21" s="70" t="str">
        <f t="shared" si="5"/>
        <v/>
      </c>
      <c r="N21" s="70" t="str">
        <f t="shared" si="0"/>
        <v/>
      </c>
      <c r="O21" s="74" t="str">
        <f t="shared" si="1"/>
        <v/>
      </c>
      <c r="P21" s="128">
        <v>162</v>
      </c>
      <c r="Q21" s="129">
        <f t="shared" si="2"/>
        <v>190</v>
      </c>
      <c r="R21" s="81">
        <f t="shared" si="6"/>
        <v>28</v>
      </c>
      <c r="S21" s="76">
        <f t="shared" si="7"/>
        <v>0.85263157894736841</v>
      </c>
      <c r="T21" s="77">
        <f t="shared" si="8"/>
        <v>2</v>
      </c>
      <c r="U21" s="77">
        <f t="shared" si="9"/>
        <v>1.1473684210526316</v>
      </c>
      <c r="V21" s="78">
        <f t="shared" si="10"/>
        <v>0.85263157894736841</v>
      </c>
      <c r="W21" s="79">
        <f t="shared" si="11"/>
        <v>1</v>
      </c>
      <c r="X21" s="80">
        <f t="shared" si="12"/>
        <v>0.14736842105263159</v>
      </c>
      <c r="Y21" s="81">
        <f t="shared" si="13"/>
        <v>13.787234042553191</v>
      </c>
      <c r="Z21" s="81">
        <f t="shared" si="14"/>
        <v>16.170212765957448</v>
      </c>
      <c r="AA21" s="75">
        <f t="shared" si="15"/>
        <v>2.382978723404257</v>
      </c>
    </row>
    <row r="22" spans="3:27" ht="16" x14ac:dyDescent="0.35">
      <c r="C22" s="147" t="s">
        <v>31</v>
      </c>
      <c r="D22" s="148" t="s">
        <v>37</v>
      </c>
      <c r="E22" s="82"/>
      <c r="F22" s="83">
        <v>1</v>
      </c>
      <c r="G22" s="83">
        <v>1</v>
      </c>
      <c r="H22" s="83">
        <v>1</v>
      </c>
      <c r="I22" s="109">
        <v>1</v>
      </c>
      <c r="J22" s="84">
        <f t="shared" ref="J22:J24" si="19">MIN(G22:I22)</f>
        <v>1</v>
      </c>
      <c r="K22" s="85">
        <v>1</v>
      </c>
      <c r="L22" s="86">
        <f t="shared" si="4"/>
        <v>190</v>
      </c>
      <c r="M22" s="83" t="str">
        <f t="shared" si="5"/>
        <v/>
      </c>
      <c r="N22" s="83" t="str">
        <f t="shared" si="0"/>
        <v/>
      </c>
      <c r="O22" s="87" t="str">
        <f t="shared" si="1"/>
        <v/>
      </c>
      <c r="P22" s="130">
        <v>162</v>
      </c>
      <c r="Q22" s="131">
        <f t="shared" si="2"/>
        <v>190</v>
      </c>
      <c r="R22" s="94">
        <f t="shared" si="6"/>
        <v>28</v>
      </c>
      <c r="S22" s="89">
        <f t="shared" si="7"/>
        <v>0.85263157894736841</v>
      </c>
      <c r="T22" s="90">
        <f t="shared" si="8"/>
        <v>2</v>
      </c>
      <c r="U22" s="90">
        <f t="shared" si="9"/>
        <v>1.1473684210526316</v>
      </c>
      <c r="V22" s="91">
        <f t="shared" si="10"/>
        <v>0.85263157894736841</v>
      </c>
      <c r="W22" s="92">
        <f t="shared" si="11"/>
        <v>1</v>
      </c>
      <c r="X22" s="93">
        <f t="shared" si="12"/>
        <v>0.14736842105263159</v>
      </c>
      <c r="Y22" s="94">
        <f t="shared" si="13"/>
        <v>13.787234042553191</v>
      </c>
      <c r="Z22" s="94">
        <f t="shared" si="14"/>
        <v>16.170212765957448</v>
      </c>
      <c r="AA22" s="88">
        <f t="shared" si="15"/>
        <v>2.382978723404257</v>
      </c>
    </row>
    <row r="23" spans="3:27" ht="16" x14ac:dyDescent="0.35">
      <c r="C23" s="147" t="s">
        <v>32</v>
      </c>
      <c r="D23" s="148" t="s">
        <v>37</v>
      </c>
      <c r="E23" s="82"/>
      <c r="F23" s="83">
        <v>1</v>
      </c>
      <c r="G23" s="83">
        <v>1</v>
      </c>
      <c r="H23" s="83">
        <v>1</v>
      </c>
      <c r="I23" s="109">
        <v>1</v>
      </c>
      <c r="J23" s="84">
        <f t="shared" si="19"/>
        <v>1</v>
      </c>
      <c r="K23" s="85">
        <v>1</v>
      </c>
      <c r="L23" s="86">
        <f t="shared" si="4"/>
        <v>190</v>
      </c>
      <c r="M23" s="83" t="str">
        <f t="shared" si="5"/>
        <v/>
      </c>
      <c r="N23" s="83" t="str">
        <f t="shared" si="0"/>
        <v/>
      </c>
      <c r="O23" s="87" t="str">
        <f t="shared" si="1"/>
        <v/>
      </c>
      <c r="P23" s="130">
        <v>162</v>
      </c>
      <c r="Q23" s="131">
        <f t="shared" si="2"/>
        <v>190</v>
      </c>
      <c r="R23" s="94">
        <f t="shared" si="6"/>
        <v>28</v>
      </c>
      <c r="S23" s="89">
        <f t="shared" si="7"/>
        <v>0.85263157894736841</v>
      </c>
      <c r="T23" s="90">
        <f t="shared" si="8"/>
        <v>2</v>
      </c>
      <c r="U23" s="90">
        <f t="shared" si="9"/>
        <v>1.1473684210526316</v>
      </c>
      <c r="V23" s="91">
        <f t="shared" si="10"/>
        <v>0.85263157894736841</v>
      </c>
      <c r="W23" s="92">
        <f t="shared" si="11"/>
        <v>1</v>
      </c>
      <c r="X23" s="93">
        <f t="shared" si="12"/>
        <v>0.14736842105263159</v>
      </c>
      <c r="Y23" s="94">
        <f t="shared" si="13"/>
        <v>13.787234042553191</v>
      </c>
      <c r="Z23" s="94">
        <f t="shared" si="14"/>
        <v>16.170212765957448</v>
      </c>
      <c r="AA23" s="88">
        <f t="shared" si="15"/>
        <v>2.382978723404257</v>
      </c>
    </row>
    <row r="24" spans="3:27" ht="16" x14ac:dyDescent="0.35">
      <c r="C24" s="149" t="s">
        <v>33</v>
      </c>
      <c r="D24" s="150" t="s">
        <v>37</v>
      </c>
      <c r="E24" s="96"/>
      <c r="F24" s="97">
        <v>1</v>
      </c>
      <c r="G24" s="97">
        <v>1</v>
      </c>
      <c r="H24" s="97">
        <v>1</v>
      </c>
      <c r="I24" s="110">
        <v>1</v>
      </c>
      <c r="J24" s="98">
        <f t="shared" si="19"/>
        <v>1</v>
      </c>
      <c r="K24" s="99">
        <v>1</v>
      </c>
      <c r="L24" s="100">
        <f t="shared" si="4"/>
        <v>190</v>
      </c>
      <c r="M24" s="97" t="str">
        <f t="shared" si="5"/>
        <v/>
      </c>
      <c r="N24" s="97" t="str">
        <f t="shared" si="0"/>
        <v/>
      </c>
      <c r="O24" s="95" t="str">
        <f t="shared" si="1"/>
        <v/>
      </c>
      <c r="P24" s="132">
        <v>162</v>
      </c>
      <c r="Q24" s="133">
        <f t="shared" si="2"/>
        <v>190</v>
      </c>
      <c r="R24" s="107">
        <f t="shared" si="6"/>
        <v>28</v>
      </c>
      <c r="S24" s="102">
        <f t="shared" si="7"/>
        <v>0.85263157894736841</v>
      </c>
      <c r="T24" s="103">
        <f t="shared" si="8"/>
        <v>2</v>
      </c>
      <c r="U24" s="103">
        <f t="shared" si="9"/>
        <v>1.1473684210526316</v>
      </c>
      <c r="V24" s="104">
        <f t="shared" si="10"/>
        <v>0.85263157894736841</v>
      </c>
      <c r="W24" s="105">
        <f t="shared" si="11"/>
        <v>1</v>
      </c>
      <c r="X24" s="106">
        <f t="shared" si="12"/>
        <v>0.14736842105263159</v>
      </c>
      <c r="Y24" s="107">
        <f t="shared" si="13"/>
        <v>13.787234042553191</v>
      </c>
      <c r="Z24" s="107">
        <f t="shared" si="14"/>
        <v>16.170212765957448</v>
      </c>
      <c r="AA24" s="101">
        <f t="shared" si="15"/>
        <v>2.382978723404257</v>
      </c>
    </row>
    <row r="25" spans="3:27" ht="16" x14ac:dyDescent="0.35">
      <c r="C25" s="145" t="s">
        <v>29</v>
      </c>
      <c r="D25" s="146" t="s">
        <v>38</v>
      </c>
      <c r="E25" s="69"/>
      <c r="F25" s="70">
        <v>1</v>
      </c>
      <c r="G25" s="70">
        <v>1</v>
      </c>
      <c r="H25" s="70">
        <v>1</v>
      </c>
      <c r="I25" s="108">
        <v>1</v>
      </c>
      <c r="J25" s="71">
        <f>MIN(G25:I25)</f>
        <v>1</v>
      </c>
      <c r="K25" s="72">
        <v>1</v>
      </c>
      <c r="L25" s="73">
        <f t="shared" si="4"/>
        <v>190</v>
      </c>
      <c r="M25" s="70" t="str">
        <f t="shared" si="5"/>
        <v/>
      </c>
      <c r="N25" s="70" t="str">
        <f t="shared" si="0"/>
        <v/>
      </c>
      <c r="O25" s="74" t="str">
        <f t="shared" si="1"/>
        <v/>
      </c>
      <c r="P25" s="128">
        <v>162</v>
      </c>
      <c r="Q25" s="129">
        <f t="shared" si="2"/>
        <v>190</v>
      </c>
      <c r="R25" s="81">
        <f t="shared" si="6"/>
        <v>28</v>
      </c>
      <c r="S25" s="76">
        <f t="shared" si="7"/>
        <v>0.85263157894736841</v>
      </c>
      <c r="T25" s="77">
        <f t="shared" si="8"/>
        <v>2</v>
      </c>
      <c r="U25" s="77">
        <f t="shared" si="9"/>
        <v>1.1473684210526316</v>
      </c>
      <c r="V25" s="78">
        <f t="shared" si="10"/>
        <v>0.85263157894736841</v>
      </c>
      <c r="W25" s="79">
        <f t="shared" si="11"/>
        <v>1</v>
      </c>
      <c r="X25" s="80">
        <f t="shared" si="12"/>
        <v>0.14736842105263159</v>
      </c>
      <c r="Y25" s="81">
        <f t="shared" si="13"/>
        <v>13.787234042553191</v>
      </c>
      <c r="Z25" s="81">
        <f t="shared" si="14"/>
        <v>16.170212765957448</v>
      </c>
      <c r="AA25" s="75">
        <f t="shared" si="15"/>
        <v>2.382978723404257</v>
      </c>
    </row>
    <row r="26" spans="3:27" ht="16" x14ac:dyDescent="0.35">
      <c r="C26" s="147" t="s">
        <v>31</v>
      </c>
      <c r="D26" s="148" t="s">
        <v>38</v>
      </c>
      <c r="E26" s="82"/>
      <c r="F26" s="83">
        <v>1</v>
      </c>
      <c r="G26" s="83">
        <v>1</v>
      </c>
      <c r="H26" s="83">
        <v>1</v>
      </c>
      <c r="I26" s="109">
        <v>1</v>
      </c>
      <c r="J26" s="84">
        <f t="shared" ref="J26:J28" si="20">MIN(G26:I26)</f>
        <v>1</v>
      </c>
      <c r="K26" s="85">
        <v>1</v>
      </c>
      <c r="L26" s="86">
        <f t="shared" si="4"/>
        <v>190</v>
      </c>
      <c r="M26" s="83" t="str">
        <f t="shared" si="5"/>
        <v/>
      </c>
      <c r="N26" s="83" t="str">
        <f t="shared" si="0"/>
        <v/>
      </c>
      <c r="O26" s="87" t="str">
        <f t="shared" si="1"/>
        <v/>
      </c>
      <c r="P26" s="130">
        <v>162</v>
      </c>
      <c r="Q26" s="131">
        <f t="shared" si="2"/>
        <v>190</v>
      </c>
      <c r="R26" s="94">
        <f t="shared" si="6"/>
        <v>28</v>
      </c>
      <c r="S26" s="89">
        <f t="shared" si="7"/>
        <v>0.85263157894736841</v>
      </c>
      <c r="T26" s="90">
        <f t="shared" si="8"/>
        <v>2</v>
      </c>
      <c r="U26" s="90">
        <f t="shared" si="9"/>
        <v>1.1473684210526316</v>
      </c>
      <c r="V26" s="91">
        <f t="shared" si="10"/>
        <v>0.85263157894736841</v>
      </c>
      <c r="W26" s="92">
        <f t="shared" si="11"/>
        <v>1</v>
      </c>
      <c r="X26" s="93">
        <f t="shared" si="12"/>
        <v>0.14736842105263159</v>
      </c>
      <c r="Y26" s="94">
        <f t="shared" si="13"/>
        <v>13.787234042553191</v>
      </c>
      <c r="Z26" s="94">
        <f t="shared" si="14"/>
        <v>16.170212765957448</v>
      </c>
      <c r="AA26" s="88">
        <f t="shared" si="15"/>
        <v>2.382978723404257</v>
      </c>
    </row>
    <row r="27" spans="3:27" ht="16" x14ac:dyDescent="0.35">
      <c r="C27" s="147" t="s">
        <v>32</v>
      </c>
      <c r="D27" s="148" t="s">
        <v>38</v>
      </c>
      <c r="E27" s="82"/>
      <c r="F27" s="83">
        <v>1</v>
      </c>
      <c r="G27" s="83">
        <v>1</v>
      </c>
      <c r="H27" s="83">
        <v>1</v>
      </c>
      <c r="I27" s="109">
        <v>1</v>
      </c>
      <c r="J27" s="84">
        <f t="shared" si="20"/>
        <v>1</v>
      </c>
      <c r="K27" s="85">
        <v>1</v>
      </c>
      <c r="L27" s="86">
        <f t="shared" si="4"/>
        <v>190</v>
      </c>
      <c r="M27" s="83" t="str">
        <f t="shared" si="5"/>
        <v/>
      </c>
      <c r="N27" s="83" t="str">
        <f t="shared" si="0"/>
        <v/>
      </c>
      <c r="O27" s="87" t="str">
        <f t="shared" si="1"/>
        <v/>
      </c>
      <c r="P27" s="130">
        <v>162</v>
      </c>
      <c r="Q27" s="131">
        <f t="shared" si="2"/>
        <v>190</v>
      </c>
      <c r="R27" s="94">
        <f t="shared" si="6"/>
        <v>28</v>
      </c>
      <c r="S27" s="89">
        <f t="shared" si="7"/>
        <v>0.85263157894736841</v>
      </c>
      <c r="T27" s="90">
        <f t="shared" si="8"/>
        <v>2</v>
      </c>
      <c r="U27" s="90">
        <f t="shared" si="9"/>
        <v>1.1473684210526316</v>
      </c>
      <c r="V27" s="91">
        <f t="shared" si="10"/>
        <v>0.85263157894736841</v>
      </c>
      <c r="W27" s="92">
        <f t="shared" si="11"/>
        <v>1</v>
      </c>
      <c r="X27" s="93">
        <f t="shared" si="12"/>
        <v>0.14736842105263159</v>
      </c>
      <c r="Y27" s="94">
        <f t="shared" si="13"/>
        <v>13.787234042553191</v>
      </c>
      <c r="Z27" s="94">
        <f t="shared" si="14"/>
        <v>16.170212765957448</v>
      </c>
      <c r="AA27" s="88">
        <f t="shared" si="15"/>
        <v>2.382978723404257</v>
      </c>
    </row>
    <row r="28" spans="3:27" ht="16" x14ac:dyDescent="0.35">
      <c r="C28" s="149" t="s">
        <v>33</v>
      </c>
      <c r="D28" s="150" t="s">
        <v>38</v>
      </c>
      <c r="E28" s="96"/>
      <c r="F28" s="97">
        <v>1</v>
      </c>
      <c r="G28" s="97">
        <v>1</v>
      </c>
      <c r="H28" s="97">
        <v>1</v>
      </c>
      <c r="I28" s="110">
        <v>1</v>
      </c>
      <c r="J28" s="98">
        <f t="shared" si="20"/>
        <v>1</v>
      </c>
      <c r="K28" s="99">
        <v>1</v>
      </c>
      <c r="L28" s="100">
        <f t="shared" si="4"/>
        <v>190</v>
      </c>
      <c r="M28" s="97" t="str">
        <f t="shared" si="5"/>
        <v/>
      </c>
      <c r="N28" s="97" t="str">
        <f t="shared" si="0"/>
        <v/>
      </c>
      <c r="O28" s="95" t="str">
        <f t="shared" si="1"/>
        <v/>
      </c>
      <c r="P28" s="132">
        <v>162</v>
      </c>
      <c r="Q28" s="133">
        <f t="shared" si="2"/>
        <v>190</v>
      </c>
      <c r="R28" s="107">
        <f t="shared" si="6"/>
        <v>28</v>
      </c>
      <c r="S28" s="102">
        <f t="shared" si="7"/>
        <v>0.85263157894736841</v>
      </c>
      <c r="T28" s="103">
        <f t="shared" si="8"/>
        <v>2</v>
      </c>
      <c r="U28" s="103">
        <f t="shared" si="9"/>
        <v>1.1473684210526316</v>
      </c>
      <c r="V28" s="104">
        <f t="shared" si="10"/>
        <v>0.85263157894736841</v>
      </c>
      <c r="W28" s="105">
        <f t="shared" si="11"/>
        <v>1</v>
      </c>
      <c r="X28" s="106">
        <f t="shared" si="12"/>
        <v>0.14736842105263159</v>
      </c>
      <c r="Y28" s="107">
        <f t="shared" si="13"/>
        <v>13.787234042553191</v>
      </c>
      <c r="Z28" s="107">
        <f t="shared" si="14"/>
        <v>16.170212765957448</v>
      </c>
      <c r="AA28" s="101">
        <f t="shared" si="15"/>
        <v>2.382978723404257</v>
      </c>
    </row>
    <row r="29" spans="3:27" ht="16" x14ac:dyDescent="0.35">
      <c r="C29" s="145" t="s">
        <v>29</v>
      </c>
      <c r="D29" s="156" t="s">
        <v>39</v>
      </c>
      <c r="E29" s="69"/>
      <c r="F29" s="70">
        <v>1.5</v>
      </c>
      <c r="G29" s="70">
        <v>1.5</v>
      </c>
      <c r="H29" s="70">
        <v>1.5</v>
      </c>
      <c r="I29" s="108">
        <v>1.5</v>
      </c>
      <c r="J29" s="71">
        <f>MIN(G29:I29)</f>
        <v>1.5</v>
      </c>
      <c r="K29" s="72">
        <v>1</v>
      </c>
      <c r="L29" s="73">
        <f t="shared" si="4"/>
        <v>285</v>
      </c>
      <c r="M29" s="70" t="str">
        <f t="shared" si="5"/>
        <v/>
      </c>
      <c r="N29" s="70" t="str">
        <f t="shared" si="0"/>
        <v/>
      </c>
      <c r="O29" s="74" t="str">
        <f t="shared" si="1"/>
        <v/>
      </c>
      <c r="P29" s="128">
        <v>240</v>
      </c>
      <c r="Q29" s="129">
        <f t="shared" si="2"/>
        <v>285</v>
      </c>
      <c r="R29" s="81">
        <f t="shared" si="6"/>
        <v>45</v>
      </c>
      <c r="S29" s="76">
        <f t="shared" si="7"/>
        <v>1.263157894736842</v>
      </c>
      <c r="T29" s="77">
        <f t="shared" si="8"/>
        <v>3</v>
      </c>
      <c r="U29" s="77">
        <f t="shared" si="9"/>
        <v>1.736842105263158</v>
      </c>
      <c r="V29" s="78">
        <f t="shared" si="10"/>
        <v>1.263157894736842</v>
      </c>
      <c r="W29" s="79">
        <f t="shared" si="11"/>
        <v>1.5</v>
      </c>
      <c r="X29" s="80">
        <f t="shared" si="12"/>
        <v>0.23684210526315796</v>
      </c>
      <c r="Y29" s="81">
        <f t="shared" si="13"/>
        <v>20.425531914893618</v>
      </c>
      <c r="Z29" s="81">
        <f t="shared" si="14"/>
        <v>24.25531914893617</v>
      </c>
      <c r="AA29" s="75">
        <f t="shared" si="15"/>
        <v>3.8297872340425521</v>
      </c>
    </row>
    <row r="30" spans="3:27" ht="16" x14ac:dyDescent="0.35">
      <c r="C30" s="147" t="s">
        <v>31</v>
      </c>
      <c r="D30" s="157" t="s">
        <v>39</v>
      </c>
      <c r="E30" s="82"/>
      <c r="F30" s="83">
        <v>1.5</v>
      </c>
      <c r="G30" s="83">
        <v>1.5</v>
      </c>
      <c r="H30" s="83">
        <v>1.5</v>
      </c>
      <c r="I30" s="109">
        <v>1.5</v>
      </c>
      <c r="J30" s="84">
        <f t="shared" ref="J30:J32" si="21">MIN(G30:I30)</f>
        <v>1.5</v>
      </c>
      <c r="K30" s="85">
        <v>1</v>
      </c>
      <c r="L30" s="86">
        <f t="shared" si="4"/>
        <v>285</v>
      </c>
      <c r="M30" s="83" t="str">
        <f t="shared" si="5"/>
        <v/>
      </c>
      <c r="N30" s="83" t="str">
        <f t="shared" si="0"/>
        <v/>
      </c>
      <c r="O30" s="87" t="str">
        <f t="shared" si="1"/>
        <v/>
      </c>
      <c r="P30" s="130">
        <v>240</v>
      </c>
      <c r="Q30" s="131">
        <f t="shared" si="2"/>
        <v>285</v>
      </c>
      <c r="R30" s="94">
        <f t="shared" si="6"/>
        <v>45</v>
      </c>
      <c r="S30" s="89">
        <f t="shared" si="7"/>
        <v>1.263157894736842</v>
      </c>
      <c r="T30" s="90">
        <f t="shared" si="8"/>
        <v>3</v>
      </c>
      <c r="U30" s="90">
        <f t="shared" si="9"/>
        <v>1.736842105263158</v>
      </c>
      <c r="V30" s="91">
        <f t="shared" si="10"/>
        <v>1.263157894736842</v>
      </c>
      <c r="W30" s="92">
        <f t="shared" si="11"/>
        <v>1.5</v>
      </c>
      <c r="X30" s="93">
        <f t="shared" si="12"/>
        <v>0.23684210526315796</v>
      </c>
      <c r="Y30" s="94">
        <f t="shared" si="13"/>
        <v>20.425531914893618</v>
      </c>
      <c r="Z30" s="94">
        <f t="shared" si="14"/>
        <v>24.25531914893617</v>
      </c>
      <c r="AA30" s="88">
        <f t="shared" si="15"/>
        <v>3.8297872340425521</v>
      </c>
    </row>
    <row r="31" spans="3:27" ht="16" x14ac:dyDescent="0.35">
      <c r="C31" s="147" t="s">
        <v>32</v>
      </c>
      <c r="D31" s="157" t="s">
        <v>39</v>
      </c>
      <c r="E31" s="82"/>
      <c r="F31" s="83">
        <v>1.5</v>
      </c>
      <c r="G31" s="83">
        <v>1.5</v>
      </c>
      <c r="H31" s="83">
        <v>1.5</v>
      </c>
      <c r="I31" s="109">
        <v>1.5</v>
      </c>
      <c r="J31" s="84">
        <f t="shared" si="21"/>
        <v>1.5</v>
      </c>
      <c r="K31" s="85">
        <v>1</v>
      </c>
      <c r="L31" s="86">
        <f t="shared" si="4"/>
        <v>285</v>
      </c>
      <c r="M31" s="83" t="str">
        <f t="shared" si="5"/>
        <v/>
      </c>
      <c r="N31" s="83" t="str">
        <f t="shared" si="0"/>
        <v/>
      </c>
      <c r="O31" s="87" t="str">
        <f t="shared" si="1"/>
        <v/>
      </c>
      <c r="P31" s="130">
        <v>240</v>
      </c>
      <c r="Q31" s="131">
        <f t="shared" si="2"/>
        <v>285</v>
      </c>
      <c r="R31" s="94">
        <f t="shared" si="6"/>
        <v>45</v>
      </c>
      <c r="S31" s="89">
        <f t="shared" si="7"/>
        <v>1.263157894736842</v>
      </c>
      <c r="T31" s="90">
        <f t="shared" si="8"/>
        <v>3</v>
      </c>
      <c r="U31" s="90">
        <f t="shared" si="9"/>
        <v>1.736842105263158</v>
      </c>
      <c r="V31" s="91">
        <f t="shared" si="10"/>
        <v>1.263157894736842</v>
      </c>
      <c r="W31" s="92">
        <f t="shared" si="11"/>
        <v>1.5</v>
      </c>
      <c r="X31" s="93">
        <f t="shared" si="12"/>
        <v>0.23684210526315796</v>
      </c>
      <c r="Y31" s="94">
        <f t="shared" si="13"/>
        <v>20.425531914893618</v>
      </c>
      <c r="Z31" s="94">
        <f t="shared" si="14"/>
        <v>24.25531914893617</v>
      </c>
      <c r="AA31" s="88">
        <f t="shared" si="15"/>
        <v>3.8297872340425521</v>
      </c>
    </row>
    <row r="32" spans="3:27" ht="16" x14ac:dyDescent="0.35">
      <c r="C32" s="149" t="s">
        <v>33</v>
      </c>
      <c r="D32" s="158" t="s">
        <v>39</v>
      </c>
      <c r="E32" s="96"/>
      <c r="F32" s="97">
        <v>1.5</v>
      </c>
      <c r="G32" s="97">
        <v>1.5</v>
      </c>
      <c r="H32" s="97">
        <v>1.5</v>
      </c>
      <c r="I32" s="110">
        <v>1.5</v>
      </c>
      <c r="J32" s="98">
        <f t="shared" si="21"/>
        <v>1.5</v>
      </c>
      <c r="K32" s="99">
        <v>1</v>
      </c>
      <c r="L32" s="100">
        <f t="shared" si="4"/>
        <v>285</v>
      </c>
      <c r="M32" s="97" t="str">
        <f t="shared" si="5"/>
        <v/>
      </c>
      <c r="N32" s="97" t="str">
        <f t="shared" si="0"/>
        <v/>
      </c>
      <c r="O32" s="95" t="str">
        <f t="shared" si="1"/>
        <v/>
      </c>
      <c r="P32" s="132">
        <v>240</v>
      </c>
      <c r="Q32" s="133">
        <f t="shared" si="2"/>
        <v>285</v>
      </c>
      <c r="R32" s="107">
        <f t="shared" si="6"/>
        <v>45</v>
      </c>
      <c r="S32" s="102">
        <f t="shared" si="7"/>
        <v>1.263157894736842</v>
      </c>
      <c r="T32" s="103">
        <f t="shared" si="8"/>
        <v>3</v>
      </c>
      <c r="U32" s="103">
        <f t="shared" si="9"/>
        <v>1.736842105263158</v>
      </c>
      <c r="V32" s="104">
        <f t="shared" si="10"/>
        <v>1.263157894736842</v>
      </c>
      <c r="W32" s="105">
        <f t="shared" si="11"/>
        <v>1.5</v>
      </c>
      <c r="X32" s="106">
        <f t="shared" si="12"/>
        <v>0.23684210526315796</v>
      </c>
      <c r="Y32" s="107">
        <f t="shared" si="13"/>
        <v>20.425531914893618</v>
      </c>
      <c r="Z32" s="107">
        <f t="shared" si="14"/>
        <v>24.25531914893617</v>
      </c>
      <c r="AA32" s="101">
        <f t="shared" si="15"/>
        <v>3.8297872340425521</v>
      </c>
    </row>
    <row r="33" spans="3:28" ht="16" x14ac:dyDescent="0.35">
      <c r="C33" s="145" t="s">
        <v>29</v>
      </c>
      <c r="D33" s="156" t="s">
        <v>40</v>
      </c>
      <c r="E33" s="69"/>
      <c r="F33" s="70">
        <v>3</v>
      </c>
      <c r="G33" s="70">
        <v>3</v>
      </c>
      <c r="H33" s="70">
        <v>3</v>
      </c>
      <c r="I33" s="108">
        <v>3</v>
      </c>
      <c r="J33" s="71">
        <f>MIN(G33:I33)</f>
        <v>3</v>
      </c>
      <c r="K33" s="72">
        <v>2</v>
      </c>
      <c r="L33" s="73" t="str">
        <f t="shared" si="4"/>
        <v/>
      </c>
      <c r="M33" s="70">
        <f t="shared" si="5"/>
        <v>1140</v>
      </c>
      <c r="N33" s="70" t="str">
        <f t="shared" si="0"/>
        <v/>
      </c>
      <c r="O33" s="74" t="str">
        <f t="shared" si="1"/>
        <v/>
      </c>
      <c r="P33" s="128">
        <v>840</v>
      </c>
      <c r="Q33" s="129">
        <f t="shared" si="2"/>
        <v>1140</v>
      </c>
      <c r="R33" s="81">
        <f t="shared" si="6"/>
        <v>300</v>
      </c>
      <c r="S33" s="76">
        <f t="shared" si="7"/>
        <v>4.4210526315789478</v>
      </c>
      <c r="T33" s="77">
        <f t="shared" si="8"/>
        <v>6</v>
      </c>
      <c r="U33" s="77">
        <f t="shared" si="9"/>
        <v>1.5789473684210522</v>
      </c>
      <c r="V33" s="78">
        <f t="shared" si="10"/>
        <v>2.2105263157894739</v>
      </c>
      <c r="W33" s="79">
        <f t="shared" si="11"/>
        <v>3</v>
      </c>
      <c r="X33" s="80">
        <f t="shared" si="12"/>
        <v>0.78947368421052611</v>
      </c>
      <c r="Y33" s="81">
        <f t="shared" si="13"/>
        <v>71.489361702127653</v>
      </c>
      <c r="Z33" s="81">
        <f t="shared" si="14"/>
        <v>97.021276595744681</v>
      </c>
      <c r="AA33" s="75">
        <f t="shared" si="15"/>
        <v>25.531914893617028</v>
      </c>
    </row>
    <row r="34" spans="3:28" ht="16" x14ac:dyDescent="0.35">
      <c r="C34" s="147" t="s">
        <v>31</v>
      </c>
      <c r="D34" s="157" t="s">
        <v>40</v>
      </c>
      <c r="E34" s="82"/>
      <c r="F34" s="83">
        <v>3</v>
      </c>
      <c r="G34" s="83">
        <v>3</v>
      </c>
      <c r="H34" s="83">
        <v>3</v>
      </c>
      <c r="I34" s="109">
        <v>3</v>
      </c>
      <c r="J34" s="84">
        <f t="shared" ref="J34:J36" si="22">MIN(G34:I34)</f>
        <v>3</v>
      </c>
      <c r="K34" s="85">
        <v>2</v>
      </c>
      <c r="L34" s="86" t="str">
        <f t="shared" si="4"/>
        <v/>
      </c>
      <c r="M34" s="83">
        <f t="shared" si="5"/>
        <v>1140</v>
      </c>
      <c r="N34" s="83" t="str">
        <f t="shared" si="0"/>
        <v/>
      </c>
      <c r="O34" s="87" t="str">
        <f t="shared" si="1"/>
        <v/>
      </c>
      <c r="P34" s="130">
        <v>840</v>
      </c>
      <c r="Q34" s="131">
        <f t="shared" si="2"/>
        <v>1140</v>
      </c>
      <c r="R34" s="94">
        <f t="shared" si="6"/>
        <v>300</v>
      </c>
      <c r="S34" s="89">
        <f t="shared" si="7"/>
        <v>4.4210526315789478</v>
      </c>
      <c r="T34" s="90">
        <f t="shared" si="8"/>
        <v>6</v>
      </c>
      <c r="U34" s="90">
        <f t="shared" si="9"/>
        <v>1.5789473684210522</v>
      </c>
      <c r="V34" s="91">
        <f t="shared" si="10"/>
        <v>2.2105263157894739</v>
      </c>
      <c r="W34" s="92">
        <f t="shared" si="11"/>
        <v>3</v>
      </c>
      <c r="X34" s="93">
        <f t="shared" si="12"/>
        <v>0.78947368421052611</v>
      </c>
      <c r="Y34" s="94">
        <f t="shared" si="13"/>
        <v>71.489361702127653</v>
      </c>
      <c r="Z34" s="94">
        <f t="shared" si="14"/>
        <v>97.021276595744681</v>
      </c>
      <c r="AA34" s="88">
        <f t="shared" si="15"/>
        <v>25.531914893617028</v>
      </c>
    </row>
    <row r="35" spans="3:28" ht="16" x14ac:dyDescent="0.35">
      <c r="C35" s="147" t="s">
        <v>32</v>
      </c>
      <c r="D35" s="157" t="s">
        <v>40</v>
      </c>
      <c r="E35" s="82"/>
      <c r="F35" s="83">
        <v>3</v>
      </c>
      <c r="G35" s="83">
        <v>3</v>
      </c>
      <c r="H35" s="83">
        <v>3</v>
      </c>
      <c r="I35" s="109">
        <v>3</v>
      </c>
      <c r="J35" s="84">
        <f t="shared" si="22"/>
        <v>3</v>
      </c>
      <c r="K35" s="85">
        <v>2</v>
      </c>
      <c r="L35" s="86" t="str">
        <f t="shared" si="4"/>
        <v/>
      </c>
      <c r="M35" s="83">
        <f t="shared" si="5"/>
        <v>1140</v>
      </c>
      <c r="N35" s="83" t="str">
        <f t="shared" si="0"/>
        <v/>
      </c>
      <c r="O35" s="87" t="str">
        <f t="shared" si="1"/>
        <v/>
      </c>
      <c r="P35" s="130">
        <v>840</v>
      </c>
      <c r="Q35" s="131">
        <f t="shared" si="2"/>
        <v>1140</v>
      </c>
      <c r="R35" s="94">
        <f t="shared" si="6"/>
        <v>300</v>
      </c>
      <c r="S35" s="89">
        <f t="shared" si="7"/>
        <v>4.4210526315789478</v>
      </c>
      <c r="T35" s="90">
        <f t="shared" si="8"/>
        <v>6</v>
      </c>
      <c r="U35" s="90">
        <f t="shared" si="9"/>
        <v>1.5789473684210522</v>
      </c>
      <c r="V35" s="91">
        <f t="shared" si="10"/>
        <v>2.2105263157894739</v>
      </c>
      <c r="W35" s="92">
        <f t="shared" si="11"/>
        <v>3</v>
      </c>
      <c r="X35" s="93">
        <f t="shared" si="12"/>
        <v>0.78947368421052611</v>
      </c>
      <c r="Y35" s="94">
        <f t="shared" si="13"/>
        <v>71.489361702127653</v>
      </c>
      <c r="Z35" s="94">
        <f t="shared" si="14"/>
        <v>97.021276595744681</v>
      </c>
      <c r="AA35" s="88">
        <f t="shared" si="15"/>
        <v>25.531914893617028</v>
      </c>
    </row>
    <row r="36" spans="3:28" ht="16" x14ac:dyDescent="0.35">
      <c r="C36" s="149" t="s">
        <v>33</v>
      </c>
      <c r="D36" s="158" t="s">
        <v>40</v>
      </c>
      <c r="E36" s="96"/>
      <c r="F36" s="97">
        <v>3</v>
      </c>
      <c r="G36" s="97">
        <v>3</v>
      </c>
      <c r="H36" s="97">
        <v>3</v>
      </c>
      <c r="I36" s="110">
        <v>3</v>
      </c>
      <c r="J36" s="98">
        <f t="shared" si="22"/>
        <v>3</v>
      </c>
      <c r="K36" s="99">
        <v>2</v>
      </c>
      <c r="L36" s="100" t="str">
        <f t="shared" si="4"/>
        <v/>
      </c>
      <c r="M36" s="97">
        <f t="shared" si="5"/>
        <v>1140</v>
      </c>
      <c r="N36" s="97" t="str">
        <f t="shared" si="0"/>
        <v/>
      </c>
      <c r="O36" s="95" t="str">
        <f t="shared" si="1"/>
        <v/>
      </c>
      <c r="P36" s="132">
        <v>840</v>
      </c>
      <c r="Q36" s="133">
        <f t="shared" si="2"/>
        <v>1140</v>
      </c>
      <c r="R36" s="107">
        <f t="shared" si="6"/>
        <v>300</v>
      </c>
      <c r="S36" s="102">
        <f t="shared" si="7"/>
        <v>4.4210526315789478</v>
      </c>
      <c r="T36" s="103">
        <f t="shared" si="8"/>
        <v>6</v>
      </c>
      <c r="U36" s="103">
        <f t="shared" si="9"/>
        <v>1.5789473684210522</v>
      </c>
      <c r="V36" s="104">
        <f t="shared" si="10"/>
        <v>2.2105263157894739</v>
      </c>
      <c r="W36" s="105">
        <f t="shared" si="11"/>
        <v>3</v>
      </c>
      <c r="X36" s="106">
        <f t="shared" si="12"/>
        <v>0.78947368421052611</v>
      </c>
      <c r="Y36" s="107">
        <f t="shared" si="13"/>
        <v>71.489361702127653</v>
      </c>
      <c r="Z36" s="107">
        <f t="shared" si="14"/>
        <v>97.021276595744681</v>
      </c>
      <c r="AA36" s="101">
        <f t="shared" si="15"/>
        <v>25.531914893617028</v>
      </c>
    </row>
    <row r="37" spans="3:28" ht="16" x14ac:dyDescent="0.35">
      <c r="C37" s="145" t="s">
        <v>29</v>
      </c>
      <c r="D37" s="156" t="s">
        <v>41</v>
      </c>
      <c r="E37" s="69"/>
      <c r="F37" s="70">
        <v>4</v>
      </c>
      <c r="G37" s="70">
        <v>4</v>
      </c>
      <c r="H37" s="70">
        <v>4</v>
      </c>
      <c r="I37" s="108">
        <v>4</v>
      </c>
      <c r="J37" s="71">
        <f>MIN(G37:I37)</f>
        <v>4</v>
      </c>
      <c r="K37" s="72">
        <v>4</v>
      </c>
      <c r="L37" s="73" t="str">
        <f t="shared" si="4"/>
        <v/>
      </c>
      <c r="M37" s="70" t="str">
        <f t="shared" si="5"/>
        <v/>
      </c>
      <c r="N37" s="70" t="str">
        <f t="shared" si="0"/>
        <v/>
      </c>
      <c r="O37" s="74">
        <f t="shared" si="1"/>
        <v>2080</v>
      </c>
      <c r="P37" s="128">
        <v>1872</v>
      </c>
      <c r="Q37" s="129">
        <f t="shared" si="2"/>
        <v>2080</v>
      </c>
      <c r="R37" s="81">
        <f t="shared" si="6"/>
        <v>208</v>
      </c>
      <c r="S37" s="76">
        <f t="shared" si="7"/>
        <v>7.2</v>
      </c>
      <c r="T37" s="77">
        <f t="shared" si="8"/>
        <v>8</v>
      </c>
      <c r="U37" s="77">
        <f t="shared" si="9"/>
        <v>0.79999999999999982</v>
      </c>
      <c r="V37" s="78">
        <f t="shared" si="10"/>
        <v>3.6</v>
      </c>
      <c r="W37" s="79">
        <f t="shared" si="11"/>
        <v>4</v>
      </c>
      <c r="X37" s="80">
        <f t="shared" si="12"/>
        <v>0.39999999999999991</v>
      </c>
      <c r="Y37" s="81">
        <f t="shared" si="13"/>
        <v>159.31914893617022</v>
      </c>
      <c r="Z37" s="81">
        <f t="shared" si="14"/>
        <v>177.02127659574469</v>
      </c>
      <c r="AA37" s="75">
        <f t="shared" si="15"/>
        <v>17.702127659574472</v>
      </c>
    </row>
    <row r="38" spans="3:28" ht="16" x14ac:dyDescent="0.35">
      <c r="C38" s="147" t="s">
        <v>31</v>
      </c>
      <c r="D38" s="157" t="s">
        <v>41</v>
      </c>
      <c r="E38" s="82"/>
      <c r="F38" s="83"/>
      <c r="G38" s="83">
        <v>4</v>
      </c>
      <c r="H38" s="83">
        <v>4</v>
      </c>
      <c r="I38" s="109">
        <v>4</v>
      </c>
      <c r="J38" s="84">
        <f t="shared" ref="J38:J40" si="23">MIN(G38:I38)</f>
        <v>4</v>
      </c>
      <c r="K38" s="85">
        <v>2</v>
      </c>
      <c r="L38" s="86" t="str">
        <f t="shared" si="4"/>
        <v/>
      </c>
      <c r="M38" s="83">
        <f t="shared" si="5"/>
        <v>1520</v>
      </c>
      <c r="N38" s="83" t="str">
        <f t="shared" si="0"/>
        <v/>
      </c>
      <c r="O38" s="87" t="str">
        <f t="shared" si="1"/>
        <v/>
      </c>
      <c r="P38" s="130">
        <v>1427</v>
      </c>
      <c r="Q38" s="131">
        <f t="shared" si="2"/>
        <v>1520</v>
      </c>
      <c r="R38" s="94">
        <f t="shared" si="6"/>
        <v>93</v>
      </c>
      <c r="S38" s="89">
        <f t="shared" si="7"/>
        <v>7.5105263157894733</v>
      </c>
      <c r="T38" s="90">
        <f t="shared" si="8"/>
        <v>8</v>
      </c>
      <c r="U38" s="90">
        <f t="shared" si="9"/>
        <v>0.48947368421052673</v>
      </c>
      <c r="V38" s="91">
        <f t="shared" si="10"/>
        <v>3.7552631578947366</v>
      </c>
      <c r="W38" s="92">
        <f t="shared" si="11"/>
        <v>4</v>
      </c>
      <c r="X38" s="93">
        <f t="shared" si="12"/>
        <v>0.24473684210526336</v>
      </c>
      <c r="Y38" s="94">
        <f t="shared" si="13"/>
        <v>121.44680851063829</v>
      </c>
      <c r="Z38" s="94">
        <f t="shared" si="14"/>
        <v>129.36170212765958</v>
      </c>
      <c r="AA38" s="88">
        <f t="shared" si="15"/>
        <v>7.914893617021292</v>
      </c>
    </row>
    <row r="39" spans="3:28" ht="16" x14ac:dyDescent="0.35">
      <c r="C39" s="147" t="s">
        <v>32</v>
      </c>
      <c r="D39" s="157" t="s">
        <v>41</v>
      </c>
      <c r="E39" s="82"/>
      <c r="F39" s="83">
        <v>4.0999999999999996</v>
      </c>
      <c r="G39" s="83">
        <v>4.0999999999999996</v>
      </c>
      <c r="H39" s="83">
        <v>4.0999999999999996</v>
      </c>
      <c r="I39" s="109">
        <v>4.0999999999999996</v>
      </c>
      <c r="J39" s="84">
        <f t="shared" si="23"/>
        <v>4.0999999999999996</v>
      </c>
      <c r="K39" s="85">
        <v>2</v>
      </c>
      <c r="L39" s="86" t="str">
        <f t="shared" si="4"/>
        <v/>
      </c>
      <c r="M39" s="83">
        <f t="shared" si="5"/>
        <v>1557.9999999999998</v>
      </c>
      <c r="N39" s="83" t="str">
        <f t="shared" si="0"/>
        <v/>
      </c>
      <c r="O39" s="87" t="str">
        <f t="shared" si="1"/>
        <v/>
      </c>
      <c r="P39" s="130">
        <v>1564</v>
      </c>
      <c r="Q39" s="131">
        <f t="shared" si="2"/>
        <v>1557.9999999999998</v>
      </c>
      <c r="R39" s="94">
        <f t="shared" si="6"/>
        <v>-6.0000000000002274</v>
      </c>
      <c r="S39" s="89">
        <f t="shared" si="7"/>
        <v>8.2315789473684209</v>
      </c>
      <c r="T39" s="90">
        <f t="shared" si="8"/>
        <v>8.1999999999999993</v>
      </c>
      <c r="U39" s="90">
        <f t="shared" si="9"/>
        <v>-3.1578947368421595E-2</v>
      </c>
      <c r="V39" s="91">
        <f t="shared" si="10"/>
        <v>4.1157894736842104</v>
      </c>
      <c r="W39" s="92">
        <f t="shared" si="11"/>
        <v>4.0999999999999996</v>
      </c>
      <c r="X39" s="93">
        <f t="shared" si="12"/>
        <v>-1.5789473684210797E-2</v>
      </c>
      <c r="Y39" s="94">
        <f t="shared" si="13"/>
        <v>133.10638297872342</v>
      </c>
      <c r="Z39" s="94">
        <f t="shared" si="14"/>
        <v>132.59574468085106</v>
      </c>
      <c r="AA39" s="88">
        <f t="shared" si="15"/>
        <v>-0.51063829787236159</v>
      </c>
    </row>
    <row r="40" spans="3:28" ht="16" x14ac:dyDescent="0.35">
      <c r="C40" s="149" t="s">
        <v>33</v>
      </c>
      <c r="D40" s="158" t="s">
        <v>41</v>
      </c>
      <c r="E40" s="96"/>
      <c r="F40" s="97"/>
      <c r="G40" s="97">
        <v>4</v>
      </c>
      <c r="H40" s="97">
        <v>4</v>
      </c>
      <c r="I40" s="110">
        <v>4</v>
      </c>
      <c r="J40" s="98">
        <f t="shared" si="23"/>
        <v>4</v>
      </c>
      <c r="K40" s="99">
        <v>3</v>
      </c>
      <c r="L40" s="100" t="str">
        <f t="shared" si="4"/>
        <v/>
      </c>
      <c r="M40" s="97" t="str">
        <f t="shared" si="5"/>
        <v/>
      </c>
      <c r="N40" s="97">
        <f t="shared" si="0"/>
        <v>1800</v>
      </c>
      <c r="O40" s="95" t="str">
        <f t="shared" si="1"/>
        <v/>
      </c>
      <c r="P40" s="134">
        <v>1663</v>
      </c>
      <c r="Q40" s="135">
        <f t="shared" si="2"/>
        <v>1800</v>
      </c>
      <c r="R40" s="136">
        <f t="shared" si="6"/>
        <v>137</v>
      </c>
      <c r="S40" s="102">
        <f t="shared" si="7"/>
        <v>7.391111111111111</v>
      </c>
      <c r="T40" s="103">
        <f t="shared" si="8"/>
        <v>8</v>
      </c>
      <c r="U40" s="103">
        <f t="shared" si="9"/>
        <v>0.60888888888888903</v>
      </c>
      <c r="V40" s="104">
        <f t="shared" si="10"/>
        <v>3.6955555555555555</v>
      </c>
      <c r="W40" s="105">
        <f t="shared" si="11"/>
        <v>4</v>
      </c>
      <c r="X40" s="106">
        <f t="shared" si="12"/>
        <v>0.30444444444444452</v>
      </c>
      <c r="Y40" s="107">
        <f t="shared" si="13"/>
        <v>141.53191489361703</v>
      </c>
      <c r="Z40" s="107">
        <f t="shared" si="14"/>
        <v>153.19148936170214</v>
      </c>
      <c r="AA40" s="101">
        <f t="shared" si="15"/>
        <v>11.659574468085111</v>
      </c>
    </row>
    <row r="41" spans="3:28" ht="17.25" customHeight="1" x14ac:dyDescent="0.35">
      <c r="C41" s="145" t="s">
        <v>29</v>
      </c>
      <c r="D41" s="156" t="s">
        <v>42</v>
      </c>
      <c r="E41" s="69">
        <v>8</v>
      </c>
      <c r="F41" s="70">
        <v>8</v>
      </c>
      <c r="G41" s="70">
        <v>8</v>
      </c>
      <c r="H41" s="70">
        <v>8</v>
      </c>
      <c r="I41" s="108">
        <v>8</v>
      </c>
      <c r="J41" s="71">
        <f>MIN(G41:I41)</f>
        <v>8</v>
      </c>
      <c r="K41" s="72">
        <v>4</v>
      </c>
      <c r="L41" s="73" t="str">
        <f t="shared" si="4"/>
        <v/>
      </c>
      <c r="M41" s="70" t="str">
        <f t="shared" si="5"/>
        <v/>
      </c>
      <c r="N41" s="70" t="str">
        <f t="shared" si="0"/>
        <v/>
      </c>
      <c r="O41" s="74">
        <f t="shared" si="1"/>
        <v>4160</v>
      </c>
      <c r="P41" s="137">
        <v>5117</v>
      </c>
      <c r="Q41" s="138">
        <f t="shared" si="2"/>
        <v>4160</v>
      </c>
      <c r="R41" s="139">
        <f t="shared" si="6"/>
        <v>-957</v>
      </c>
      <c r="S41" s="76">
        <f t="shared" si="7"/>
        <v>19.680769230769229</v>
      </c>
      <c r="T41" s="77">
        <f t="shared" si="8"/>
        <v>16</v>
      </c>
      <c r="U41" s="77">
        <f t="shared" si="9"/>
        <v>-3.6807692307692292</v>
      </c>
      <c r="V41" s="78">
        <f t="shared" si="10"/>
        <v>9.8403846153846146</v>
      </c>
      <c r="W41" s="79">
        <f t="shared" si="11"/>
        <v>8</v>
      </c>
      <c r="X41" s="80">
        <f t="shared" si="12"/>
        <v>-1.8403846153846146</v>
      </c>
      <c r="Y41" s="81">
        <f t="shared" si="13"/>
        <v>435.48936170212767</v>
      </c>
      <c r="Z41" s="81">
        <f t="shared" si="14"/>
        <v>354.04255319148939</v>
      </c>
      <c r="AA41" s="75">
        <f t="shared" si="15"/>
        <v>-81.446808510638277</v>
      </c>
      <c r="AB41" s="125"/>
    </row>
    <row r="42" spans="3:28" ht="18" customHeight="1" x14ac:dyDescent="0.35">
      <c r="C42" s="147" t="s">
        <v>31</v>
      </c>
      <c r="D42" s="157" t="s">
        <v>42</v>
      </c>
      <c r="E42" s="111">
        <v>10</v>
      </c>
      <c r="F42" s="83">
        <v>10</v>
      </c>
      <c r="G42" s="83">
        <v>10</v>
      </c>
      <c r="H42" s="83">
        <v>10.3</v>
      </c>
      <c r="I42" s="109">
        <v>11</v>
      </c>
      <c r="J42" s="84">
        <f t="shared" ref="J42:J44" si="24">MIN(G42:I42)</f>
        <v>10</v>
      </c>
      <c r="K42" s="85">
        <v>4</v>
      </c>
      <c r="L42" s="86" t="str">
        <f t="shared" si="4"/>
        <v/>
      </c>
      <c r="M42" s="83" t="str">
        <f t="shared" si="5"/>
        <v/>
      </c>
      <c r="N42" s="83" t="str">
        <f t="shared" si="0"/>
        <v/>
      </c>
      <c r="O42" s="87">
        <f t="shared" si="1"/>
        <v>5200</v>
      </c>
      <c r="P42" s="130">
        <v>6916</v>
      </c>
      <c r="Q42" s="131">
        <f t="shared" si="2"/>
        <v>5200</v>
      </c>
      <c r="R42" s="94">
        <f t="shared" si="6"/>
        <v>-1716</v>
      </c>
      <c r="S42" s="89">
        <f t="shared" si="7"/>
        <v>26.6</v>
      </c>
      <c r="T42" s="90">
        <f t="shared" si="8"/>
        <v>20</v>
      </c>
      <c r="U42" s="90">
        <f t="shared" si="9"/>
        <v>-6.6000000000000014</v>
      </c>
      <c r="V42" s="91">
        <f t="shared" si="10"/>
        <v>13.3</v>
      </c>
      <c r="W42" s="92">
        <f t="shared" si="11"/>
        <v>10</v>
      </c>
      <c r="X42" s="93">
        <f t="shared" si="12"/>
        <v>-3.3000000000000007</v>
      </c>
      <c r="Y42" s="94">
        <f t="shared" si="13"/>
        <v>588.59574468085111</v>
      </c>
      <c r="Z42" s="94">
        <f t="shared" si="14"/>
        <v>442.55319148936172</v>
      </c>
      <c r="AA42" s="88">
        <f t="shared" si="15"/>
        <v>-146.04255319148939</v>
      </c>
      <c r="AB42" s="125"/>
    </row>
    <row r="43" spans="3:28" ht="36" customHeight="1" x14ac:dyDescent="0.35">
      <c r="C43" s="147" t="s">
        <v>32</v>
      </c>
      <c r="D43" s="157" t="s">
        <v>42</v>
      </c>
      <c r="E43" s="111">
        <v>17</v>
      </c>
      <c r="F43" s="83">
        <v>17</v>
      </c>
      <c r="G43" s="83">
        <v>17</v>
      </c>
      <c r="H43" s="83">
        <v>17</v>
      </c>
      <c r="I43" s="109">
        <v>17</v>
      </c>
      <c r="J43" s="84">
        <f t="shared" si="24"/>
        <v>17</v>
      </c>
      <c r="K43" s="85">
        <v>4</v>
      </c>
      <c r="L43" s="86" t="str">
        <f t="shared" si="4"/>
        <v/>
      </c>
      <c r="M43" s="83" t="str">
        <f t="shared" si="5"/>
        <v/>
      </c>
      <c r="N43" s="83" t="str">
        <f t="shared" si="0"/>
        <v/>
      </c>
      <c r="O43" s="87">
        <f t="shared" si="1"/>
        <v>8840</v>
      </c>
      <c r="P43" s="130">
        <v>11604</v>
      </c>
      <c r="Q43" s="131">
        <f t="shared" si="2"/>
        <v>8840</v>
      </c>
      <c r="R43" s="94">
        <f t="shared" si="6"/>
        <v>-2764</v>
      </c>
      <c r="S43" s="89">
        <f t="shared" si="7"/>
        <v>44.630769230769232</v>
      </c>
      <c r="T43" s="90">
        <f t="shared" si="8"/>
        <v>34</v>
      </c>
      <c r="U43" s="90">
        <f t="shared" si="9"/>
        <v>-10.630769230769232</v>
      </c>
      <c r="V43" s="91">
        <f t="shared" si="10"/>
        <v>22.315384615384616</v>
      </c>
      <c r="W43" s="92">
        <f t="shared" si="11"/>
        <v>17</v>
      </c>
      <c r="X43" s="93">
        <f t="shared" si="12"/>
        <v>-5.315384615384616</v>
      </c>
      <c r="Y43" s="94">
        <f t="shared" si="13"/>
        <v>987.57446808510633</v>
      </c>
      <c r="Z43" s="94">
        <f t="shared" si="14"/>
        <v>752.34042553191489</v>
      </c>
      <c r="AA43" s="88">
        <f t="shared" si="15"/>
        <v>-235.23404255319144</v>
      </c>
      <c r="AB43" s="127"/>
    </row>
    <row r="44" spans="3:28" ht="16" x14ac:dyDescent="0.35">
      <c r="C44" s="149" t="s">
        <v>33</v>
      </c>
      <c r="D44" s="158" t="s">
        <v>42</v>
      </c>
      <c r="E44" s="112">
        <v>16</v>
      </c>
      <c r="F44" s="97">
        <v>16</v>
      </c>
      <c r="G44" s="97">
        <v>20</v>
      </c>
      <c r="H44" s="97">
        <v>20</v>
      </c>
      <c r="I44" s="110">
        <v>20</v>
      </c>
      <c r="J44" s="98">
        <f t="shared" si="24"/>
        <v>20</v>
      </c>
      <c r="K44" s="99">
        <v>4</v>
      </c>
      <c r="L44" s="100" t="str">
        <f t="shared" si="4"/>
        <v/>
      </c>
      <c r="M44" s="97" t="str">
        <f t="shared" si="5"/>
        <v/>
      </c>
      <c r="N44" s="97" t="str">
        <f t="shared" si="0"/>
        <v/>
      </c>
      <c r="O44" s="95">
        <f t="shared" si="1"/>
        <v>10400</v>
      </c>
      <c r="P44" s="140">
        <v>12630</v>
      </c>
      <c r="Q44" s="141">
        <f t="shared" si="2"/>
        <v>10400</v>
      </c>
      <c r="R44" s="124">
        <f t="shared" si="6"/>
        <v>-2230</v>
      </c>
      <c r="S44" s="102">
        <f t="shared" si="7"/>
        <v>48.57692307692308</v>
      </c>
      <c r="T44" s="103">
        <f t="shared" si="8"/>
        <v>40</v>
      </c>
      <c r="U44" s="103">
        <f t="shared" si="9"/>
        <v>-8.5769230769230802</v>
      </c>
      <c r="V44" s="104">
        <f t="shared" si="10"/>
        <v>24.28846153846154</v>
      </c>
      <c r="W44" s="105">
        <f t="shared" si="11"/>
        <v>20</v>
      </c>
      <c r="X44" s="106">
        <f t="shared" si="12"/>
        <v>-4.2884615384615401</v>
      </c>
      <c r="Y44" s="107">
        <f t="shared" si="13"/>
        <v>1074.8936170212767</v>
      </c>
      <c r="Z44" s="107">
        <f t="shared" si="14"/>
        <v>885.10638297872345</v>
      </c>
      <c r="AA44" s="101">
        <f t="shared" si="15"/>
        <v>-189.78723404255322</v>
      </c>
      <c r="AB44" s="126"/>
    </row>
    <row r="45" spans="3:28" ht="16" x14ac:dyDescent="0.35">
      <c r="C45" s="145" t="s">
        <v>29</v>
      </c>
      <c r="D45" s="156" t="s">
        <v>43</v>
      </c>
      <c r="E45" s="69"/>
      <c r="F45" s="70"/>
      <c r="G45" s="70">
        <v>0</v>
      </c>
      <c r="H45" s="70">
        <v>0</v>
      </c>
      <c r="I45" s="108">
        <v>0</v>
      </c>
      <c r="J45" s="71">
        <f t="shared" ref="J45:J46" si="25">MIN(G45:I45)</f>
        <v>0</v>
      </c>
      <c r="K45" s="72">
        <v>3</v>
      </c>
      <c r="L45" s="73" t="str">
        <f t="shared" si="4"/>
        <v/>
      </c>
      <c r="M45" s="70" t="str">
        <f t="shared" ref="M45:M46" si="26">IF($K45=2,$J45*(M$1+L$1),"")</f>
        <v/>
      </c>
      <c r="N45" s="70">
        <f t="shared" ref="N45:N46" si="27">IF($K45=3,$J45*(L$1+M$1+N$1),"")</f>
        <v>0</v>
      </c>
      <c r="O45" s="74" t="str">
        <f t="shared" ref="O45:O46" si="28">IF($K45=4,$J45*(L$1+M$1+N$1+O$1),"")</f>
        <v/>
      </c>
      <c r="P45" s="142"/>
      <c r="Q45" s="143">
        <f t="shared" ref="Q45:Q46" si="29">SUM(L45:O45)</f>
        <v>0</v>
      </c>
      <c r="R45" s="144">
        <f t="shared" ref="R45:R46" si="30">Q45-P45</f>
        <v>0</v>
      </c>
      <c r="S45" s="76">
        <f t="shared" si="7"/>
        <v>0</v>
      </c>
      <c r="T45" s="77">
        <f t="shared" si="8"/>
        <v>0</v>
      </c>
      <c r="U45" s="77">
        <f t="shared" si="9"/>
        <v>0</v>
      </c>
      <c r="V45" s="78">
        <f t="shared" ref="V45:V46" si="31">IFERROR((P45/(IF($K45=1,L$1,(IF($K45=2,(L$1+M$1),(IF($K45=3,(L$1+M$1+N$1),(IF($K45=4,(L$1+M$1+N$1+O$1)))))))))),"")</f>
        <v>0</v>
      </c>
      <c r="W45" s="79">
        <f t="shared" ref="W45:W46" si="32">J45</f>
        <v>0</v>
      </c>
      <c r="X45" s="80">
        <f t="shared" ref="X45:X46" si="33">IFERROR((W45-V45),"")</f>
        <v>0</v>
      </c>
      <c r="Y45" s="81">
        <f t="shared" si="13"/>
        <v>0</v>
      </c>
      <c r="Z45" s="81">
        <f t="shared" si="14"/>
        <v>0</v>
      </c>
      <c r="AA45" s="75">
        <f t="shared" si="15"/>
        <v>0</v>
      </c>
    </row>
    <row r="46" spans="3:28" ht="16" x14ac:dyDescent="0.35">
      <c r="C46" s="147" t="s">
        <v>31</v>
      </c>
      <c r="D46" s="157" t="s">
        <v>43</v>
      </c>
      <c r="E46" s="82"/>
      <c r="F46" s="83"/>
      <c r="G46" s="83">
        <v>0</v>
      </c>
      <c r="H46" s="83">
        <v>0</v>
      </c>
      <c r="I46" s="109">
        <v>0</v>
      </c>
      <c r="J46" s="84">
        <f t="shared" si="25"/>
        <v>0</v>
      </c>
      <c r="K46" s="85">
        <v>3</v>
      </c>
      <c r="L46" s="86" t="str">
        <f t="shared" si="4"/>
        <v/>
      </c>
      <c r="M46" s="83" t="str">
        <f t="shared" si="26"/>
        <v/>
      </c>
      <c r="N46" s="83">
        <f t="shared" si="27"/>
        <v>0</v>
      </c>
      <c r="O46" s="87" t="str">
        <f t="shared" si="28"/>
        <v/>
      </c>
      <c r="P46" s="130"/>
      <c r="Q46" s="131">
        <f t="shared" si="29"/>
        <v>0</v>
      </c>
      <c r="R46" s="94">
        <f t="shared" si="30"/>
        <v>0</v>
      </c>
      <c r="S46" s="89">
        <f t="shared" si="7"/>
        <v>0</v>
      </c>
      <c r="T46" s="90">
        <f t="shared" si="8"/>
        <v>0</v>
      </c>
      <c r="U46" s="90">
        <f t="shared" si="9"/>
        <v>0</v>
      </c>
      <c r="V46" s="91">
        <f t="shared" si="31"/>
        <v>0</v>
      </c>
      <c r="W46" s="92">
        <f t="shared" si="32"/>
        <v>0</v>
      </c>
      <c r="X46" s="93">
        <f t="shared" si="33"/>
        <v>0</v>
      </c>
      <c r="Y46" s="94">
        <f t="shared" si="13"/>
        <v>0</v>
      </c>
      <c r="Z46" s="94">
        <f t="shared" si="14"/>
        <v>0</v>
      </c>
      <c r="AA46" s="88">
        <f t="shared" si="15"/>
        <v>0</v>
      </c>
    </row>
    <row r="47" spans="3:28" ht="16" x14ac:dyDescent="0.35">
      <c r="C47" s="147" t="s">
        <v>32</v>
      </c>
      <c r="D47" s="157" t="s">
        <v>43</v>
      </c>
      <c r="E47" s="82">
        <v>3</v>
      </c>
      <c r="F47" s="83">
        <v>3</v>
      </c>
      <c r="G47" s="83">
        <v>3</v>
      </c>
      <c r="H47" s="83">
        <v>3</v>
      </c>
      <c r="I47" s="109">
        <v>3</v>
      </c>
      <c r="J47" s="84">
        <f t="shared" ref="J47:J48" si="34">MIN(G47:I47)</f>
        <v>3</v>
      </c>
      <c r="K47" s="85">
        <v>3</v>
      </c>
      <c r="L47" s="86" t="str">
        <f t="shared" si="4"/>
        <v/>
      </c>
      <c r="M47" s="83" t="str">
        <f t="shared" ref="M47:M48" si="35">IF($K47=2,$J47*(M$1+L$1),"")</f>
        <v/>
      </c>
      <c r="N47" s="83">
        <f t="shared" ref="N47:N48" si="36">IF($K47=3,$J47*(L$1+M$1+N$1),"")</f>
        <v>1350</v>
      </c>
      <c r="O47" s="87" t="str">
        <f t="shared" ref="O47:O48" si="37">IF($K47=4,$J47*(L$1+M$1+N$1+O$1),"")</f>
        <v/>
      </c>
      <c r="P47" s="130">
        <v>1175</v>
      </c>
      <c r="Q47" s="131">
        <f t="shared" ref="Q47:Q48" si="38">SUM(L47:O47)</f>
        <v>1350</v>
      </c>
      <c r="R47" s="94">
        <f t="shared" ref="R47:R48" si="39">Q47-P47</f>
        <v>175</v>
      </c>
      <c r="S47" s="89">
        <f t="shared" si="7"/>
        <v>5.2222222222222223</v>
      </c>
      <c r="T47" s="90">
        <f t="shared" si="8"/>
        <v>6</v>
      </c>
      <c r="U47" s="90">
        <f t="shared" si="9"/>
        <v>0.77777777777777768</v>
      </c>
      <c r="V47" s="91">
        <f t="shared" ref="V47:V48" si="40">IFERROR((P47/(IF($K47=1,L$1,(IF($K47=2,(L$1+M$1),(IF($K47=3,(L$1+M$1+N$1),(IF($K47=4,(L$1+M$1+N$1+O$1)))))))))),"")</f>
        <v>2.6111111111111112</v>
      </c>
      <c r="W47" s="92">
        <f t="shared" ref="W47:W48" si="41">J47</f>
        <v>3</v>
      </c>
      <c r="X47" s="93">
        <f t="shared" ref="X47:X48" si="42">IFERROR((W47-V47),"")</f>
        <v>0.38888888888888884</v>
      </c>
      <c r="Y47" s="94">
        <f t="shared" si="13"/>
        <v>100</v>
      </c>
      <c r="Z47" s="94">
        <f t="shared" si="14"/>
        <v>114.8936170212766</v>
      </c>
      <c r="AA47" s="88">
        <f t="shared" si="15"/>
        <v>14.893617021276597</v>
      </c>
    </row>
    <row r="48" spans="3:28" ht="16" x14ac:dyDescent="0.35">
      <c r="C48" s="149" t="s">
        <v>33</v>
      </c>
      <c r="D48" s="158" t="s">
        <v>43</v>
      </c>
      <c r="E48" s="113">
        <v>3</v>
      </c>
      <c r="F48" s="114">
        <v>3</v>
      </c>
      <c r="G48" s="114">
        <v>3</v>
      </c>
      <c r="H48" s="114">
        <v>3</v>
      </c>
      <c r="I48" s="115">
        <v>3</v>
      </c>
      <c r="J48" s="116">
        <f t="shared" si="34"/>
        <v>3</v>
      </c>
      <c r="K48" s="117">
        <v>3</v>
      </c>
      <c r="L48" s="100" t="str">
        <f t="shared" si="4"/>
        <v/>
      </c>
      <c r="M48" s="97" t="str">
        <f t="shared" si="35"/>
        <v/>
      </c>
      <c r="N48" s="97">
        <f t="shared" si="36"/>
        <v>1350</v>
      </c>
      <c r="O48" s="95" t="str">
        <f t="shared" si="37"/>
        <v/>
      </c>
      <c r="P48" s="140">
        <v>1175</v>
      </c>
      <c r="Q48" s="141">
        <f t="shared" si="38"/>
        <v>1350</v>
      </c>
      <c r="R48" s="124">
        <f t="shared" si="39"/>
        <v>175</v>
      </c>
      <c r="S48" s="119">
        <f t="shared" si="7"/>
        <v>5.2222222222222223</v>
      </c>
      <c r="T48" s="120">
        <f t="shared" si="8"/>
        <v>6</v>
      </c>
      <c r="U48" s="120">
        <f t="shared" si="9"/>
        <v>0.77777777777777768</v>
      </c>
      <c r="V48" s="121">
        <f t="shared" si="40"/>
        <v>2.6111111111111112</v>
      </c>
      <c r="W48" s="122">
        <f t="shared" si="41"/>
        <v>3</v>
      </c>
      <c r="X48" s="123">
        <f t="shared" si="42"/>
        <v>0.38888888888888884</v>
      </c>
      <c r="Y48" s="124">
        <f t="shared" si="13"/>
        <v>100</v>
      </c>
      <c r="Z48" s="124">
        <f t="shared" si="14"/>
        <v>114.8936170212766</v>
      </c>
      <c r="AA48" s="118">
        <f t="shared" si="15"/>
        <v>14.893617021276597</v>
      </c>
    </row>
    <row r="49" spans="3:28" ht="14.5" x14ac:dyDescent="0.35"/>
    <row r="50" spans="3:28" ht="14.5" x14ac:dyDescent="0.35"/>
    <row r="51" spans="3:28" ht="14.5" hidden="1" x14ac:dyDescent="0.35">
      <c r="C51" t="s">
        <v>44</v>
      </c>
    </row>
    <row r="52" spans="3:28" ht="15" hidden="1" customHeight="1" x14ac:dyDescent="0.35">
      <c r="C52" s="9" t="s">
        <v>29</v>
      </c>
      <c r="D52" s="4" t="s">
        <v>42</v>
      </c>
      <c r="E52" s="4">
        <v>8</v>
      </c>
      <c r="F52" s="4">
        <v>3.5</v>
      </c>
      <c r="G52" s="4">
        <v>3.5</v>
      </c>
      <c r="H52" s="4"/>
      <c r="I52" s="10"/>
      <c r="J52" s="4">
        <f>MIN(G52:I52)</f>
        <v>3.5</v>
      </c>
      <c r="K52" s="4">
        <v>2</v>
      </c>
      <c r="L52" s="5" t="str">
        <f t="shared" ref="L52:L59" si="43">IF($K52=1,$J52*L$1,"")</f>
        <v/>
      </c>
      <c r="M52" s="5">
        <f t="shared" ref="M52:M59" si="44">IF($K52=2,$J52*(M$1+L$1),"")</f>
        <v>1330</v>
      </c>
      <c r="N52" s="5" t="str">
        <f t="shared" ref="N52:N59" si="45">IF($K52=3,$J52*(L$1+M$1+N$1),"")</f>
        <v/>
      </c>
      <c r="O52" s="31" t="str">
        <f t="shared" ref="O52:O59" si="46">IF($K52=4,$J52*(L$1+M$1+N$1+O$1),"")</f>
        <v/>
      </c>
      <c r="P52" s="5">
        <v>1275</v>
      </c>
      <c r="Q52" s="5">
        <f t="shared" ref="Q52:Q59" si="47">SUM(L52:O52)</f>
        <v>1330</v>
      </c>
      <c r="R52" s="29">
        <f t="shared" ref="R52:R59" si="48">Q52-P52</f>
        <v>55</v>
      </c>
      <c r="S52" s="29"/>
      <c r="T52" s="29">
        <f t="shared" si="8"/>
        <v>7</v>
      </c>
      <c r="U52" s="29"/>
      <c r="V52" s="24">
        <f t="shared" ref="V52:V59" si="49">IFERROR((P52/(IF($K52=1,L$1,(IF($K52=2,(L$1+M$1),(IF($K52=3,(L$1+M$1+N$1),(IF($K52=4,(L$1+M$1+N$1+O$1)))))))))),"")</f>
        <v>3.3552631578947367</v>
      </c>
      <c r="W52" s="24">
        <f t="shared" ref="W52:W59" si="50">J52</f>
        <v>3.5</v>
      </c>
      <c r="X52" s="25">
        <f t="shared" ref="X52:X59" si="51">IFERROR((W52-V52),"")</f>
        <v>0.14473684210526327</v>
      </c>
      <c r="Y52" s="48"/>
      <c r="Z52" s="48"/>
      <c r="AA52" s="48"/>
      <c r="AB52" s="34" t="s">
        <v>45</v>
      </c>
    </row>
    <row r="53" spans="3:28" ht="15" hidden="1" customHeight="1" x14ac:dyDescent="0.35">
      <c r="C53" s="11" t="s">
        <v>31</v>
      </c>
      <c r="D53" s="2" t="s">
        <v>42</v>
      </c>
      <c r="E53" s="35">
        <v>10</v>
      </c>
      <c r="F53" s="2">
        <v>3.5</v>
      </c>
      <c r="G53" s="2">
        <v>3.5</v>
      </c>
      <c r="H53" s="2"/>
      <c r="I53" s="12"/>
      <c r="J53" s="2">
        <f t="shared" ref="J53:J59" si="52">MIN(G53:I53)</f>
        <v>3.5</v>
      </c>
      <c r="K53" s="2">
        <v>2</v>
      </c>
      <c r="L53" s="3" t="str">
        <f t="shared" si="43"/>
        <v/>
      </c>
      <c r="M53" s="1">
        <f t="shared" si="44"/>
        <v>1330</v>
      </c>
      <c r="N53" s="1" t="str">
        <f t="shared" si="45"/>
        <v/>
      </c>
      <c r="O53" s="21" t="str">
        <f t="shared" si="46"/>
        <v/>
      </c>
      <c r="P53" s="1">
        <v>1275</v>
      </c>
      <c r="Q53" s="1">
        <f t="shared" si="47"/>
        <v>1330</v>
      </c>
      <c r="R53" s="28">
        <f t="shared" si="48"/>
        <v>55</v>
      </c>
      <c r="S53" s="28"/>
      <c r="T53" s="28">
        <f t="shared" si="8"/>
        <v>7</v>
      </c>
      <c r="U53" s="28"/>
      <c r="V53" s="22">
        <f t="shared" si="49"/>
        <v>3.3552631578947367</v>
      </c>
      <c r="W53" s="22">
        <f t="shared" si="50"/>
        <v>3.5</v>
      </c>
      <c r="X53" s="23">
        <f t="shared" si="51"/>
        <v>0.14473684210526327</v>
      </c>
      <c r="Y53" s="48"/>
      <c r="Z53" s="48"/>
      <c r="AA53" s="48"/>
      <c r="AB53" s="34"/>
    </row>
    <row r="54" spans="3:28" ht="14.5" hidden="1" x14ac:dyDescent="0.35">
      <c r="C54" s="11" t="s">
        <v>32</v>
      </c>
      <c r="D54" s="2" t="s">
        <v>42</v>
      </c>
      <c r="E54" s="35">
        <v>17</v>
      </c>
      <c r="F54" s="2">
        <v>3.5</v>
      </c>
      <c r="G54" s="2">
        <v>3.5</v>
      </c>
      <c r="H54" s="2"/>
      <c r="I54" s="12"/>
      <c r="J54" s="2">
        <f t="shared" si="52"/>
        <v>3.5</v>
      </c>
      <c r="K54" s="2">
        <v>2</v>
      </c>
      <c r="L54" s="3" t="str">
        <f t="shared" si="43"/>
        <v/>
      </c>
      <c r="M54" s="1">
        <f t="shared" si="44"/>
        <v>1330</v>
      </c>
      <c r="N54" s="1" t="str">
        <f t="shared" si="45"/>
        <v/>
      </c>
      <c r="O54" s="21" t="str">
        <f t="shared" si="46"/>
        <v/>
      </c>
      <c r="P54" s="1">
        <v>1275</v>
      </c>
      <c r="Q54" s="1">
        <f t="shared" si="47"/>
        <v>1330</v>
      </c>
      <c r="R54" s="28">
        <f t="shared" si="48"/>
        <v>55</v>
      </c>
      <c r="S54" s="28"/>
      <c r="T54" s="28">
        <f t="shared" si="8"/>
        <v>7</v>
      </c>
      <c r="U54" s="28"/>
      <c r="V54" s="22">
        <f t="shared" si="49"/>
        <v>3.3552631578947367</v>
      </c>
      <c r="W54" s="22">
        <f t="shared" si="50"/>
        <v>3.5</v>
      </c>
      <c r="X54" s="23">
        <f t="shared" si="51"/>
        <v>0.14473684210526327</v>
      </c>
      <c r="Y54" s="48"/>
      <c r="Z54" s="48"/>
      <c r="AA54" s="48"/>
    </row>
    <row r="55" spans="3:28" ht="14.5" hidden="1" x14ac:dyDescent="0.35">
      <c r="C55" s="13" t="s">
        <v>33</v>
      </c>
      <c r="D55" s="6" t="s">
        <v>42</v>
      </c>
      <c r="E55" s="36">
        <v>17</v>
      </c>
      <c r="F55" s="6">
        <v>3.5</v>
      </c>
      <c r="G55" s="6">
        <v>3.5</v>
      </c>
      <c r="H55" s="6"/>
      <c r="I55" s="14"/>
      <c r="J55" s="6">
        <f t="shared" si="52"/>
        <v>3.5</v>
      </c>
      <c r="K55" s="6">
        <v>2</v>
      </c>
      <c r="L55" s="32" t="str">
        <f t="shared" si="43"/>
        <v/>
      </c>
      <c r="M55" s="7">
        <f t="shared" si="44"/>
        <v>1330</v>
      </c>
      <c r="N55" s="7" t="str">
        <f t="shared" si="45"/>
        <v/>
      </c>
      <c r="O55" s="8" t="str">
        <f t="shared" si="46"/>
        <v/>
      </c>
      <c r="P55" s="7">
        <v>1275</v>
      </c>
      <c r="Q55" s="7">
        <f t="shared" si="47"/>
        <v>1330</v>
      </c>
      <c r="R55" s="30">
        <f t="shared" si="48"/>
        <v>55</v>
      </c>
      <c r="S55" s="30"/>
      <c r="T55" s="30">
        <f t="shared" si="8"/>
        <v>7</v>
      </c>
      <c r="U55" s="30"/>
      <c r="V55" s="26">
        <f t="shared" si="49"/>
        <v>3.3552631578947367</v>
      </c>
      <c r="W55" s="26">
        <f t="shared" si="50"/>
        <v>3.5</v>
      </c>
      <c r="X55" s="27">
        <f t="shared" si="51"/>
        <v>0.14473684210526327</v>
      </c>
      <c r="Y55" s="48"/>
      <c r="Z55" s="48"/>
      <c r="AA55" s="48"/>
    </row>
    <row r="56" spans="3:28" ht="14.5" hidden="1" x14ac:dyDescent="0.35">
      <c r="C56" s="9" t="s">
        <v>29</v>
      </c>
      <c r="D56" s="4" t="s">
        <v>43</v>
      </c>
      <c r="E56" s="4">
        <v>4</v>
      </c>
      <c r="F56" s="4">
        <v>4</v>
      </c>
      <c r="G56" s="4">
        <v>4</v>
      </c>
      <c r="H56" s="4"/>
      <c r="I56" s="10"/>
      <c r="J56" s="4">
        <f t="shared" si="52"/>
        <v>4</v>
      </c>
      <c r="K56" s="4">
        <v>2</v>
      </c>
      <c r="L56" s="5" t="str">
        <f t="shared" si="43"/>
        <v/>
      </c>
      <c r="M56" s="5">
        <f t="shared" si="44"/>
        <v>1520</v>
      </c>
      <c r="N56" s="5" t="str">
        <f t="shared" si="45"/>
        <v/>
      </c>
      <c r="O56" s="31" t="str">
        <f t="shared" si="46"/>
        <v/>
      </c>
      <c r="P56" s="5">
        <v>1420</v>
      </c>
      <c r="Q56" s="5">
        <f t="shared" si="47"/>
        <v>1520</v>
      </c>
      <c r="R56" s="29">
        <f t="shared" si="48"/>
        <v>100</v>
      </c>
      <c r="S56" s="29"/>
      <c r="T56" s="29">
        <f t="shared" si="8"/>
        <v>8</v>
      </c>
      <c r="U56" s="29"/>
      <c r="V56" s="24">
        <f t="shared" si="49"/>
        <v>3.736842105263158</v>
      </c>
      <c r="W56" s="24">
        <f t="shared" si="50"/>
        <v>4</v>
      </c>
      <c r="X56" s="25">
        <f t="shared" si="51"/>
        <v>0.26315789473684204</v>
      </c>
      <c r="Y56" s="48"/>
      <c r="Z56" s="48"/>
      <c r="AA56" s="48"/>
    </row>
    <row r="57" spans="3:28" ht="14.5" hidden="1" x14ac:dyDescent="0.35">
      <c r="C57" s="11" t="s">
        <v>31</v>
      </c>
      <c r="D57" s="2" t="s">
        <v>43</v>
      </c>
      <c r="E57" s="2">
        <v>4</v>
      </c>
      <c r="F57" s="2">
        <v>4</v>
      </c>
      <c r="G57" s="2">
        <v>4</v>
      </c>
      <c r="H57" s="2"/>
      <c r="I57" s="12"/>
      <c r="J57" s="2">
        <f t="shared" si="52"/>
        <v>4</v>
      </c>
      <c r="K57" s="2">
        <v>2</v>
      </c>
      <c r="L57" s="3" t="str">
        <f t="shared" si="43"/>
        <v/>
      </c>
      <c r="M57" s="1">
        <f t="shared" si="44"/>
        <v>1520</v>
      </c>
      <c r="N57" s="1" t="str">
        <f t="shared" si="45"/>
        <v/>
      </c>
      <c r="O57" s="21" t="str">
        <f t="shared" si="46"/>
        <v/>
      </c>
      <c r="P57" s="1">
        <v>1420</v>
      </c>
      <c r="Q57" s="1">
        <f t="shared" si="47"/>
        <v>1520</v>
      </c>
      <c r="R57" s="28">
        <f t="shared" si="48"/>
        <v>100</v>
      </c>
      <c r="S57" s="28"/>
      <c r="T57" s="28">
        <f t="shared" si="8"/>
        <v>8</v>
      </c>
      <c r="U57" s="28"/>
      <c r="V57" s="22">
        <f t="shared" si="49"/>
        <v>3.736842105263158</v>
      </c>
      <c r="W57" s="22">
        <f t="shared" si="50"/>
        <v>4</v>
      </c>
      <c r="X57" s="23">
        <f t="shared" si="51"/>
        <v>0.26315789473684204</v>
      </c>
      <c r="Y57" s="48"/>
      <c r="Z57" s="48"/>
      <c r="AA57" s="48"/>
    </row>
    <row r="58" spans="3:28" ht="14.5" hidden="1" x14ac:dyDescent="0.35">
      <c r="C58" s="11" t="s">
        <v>32</v>
      </c>
      <c r="D58" s="2" t="s">
        <v>43</v>
      </c>
      <c r="E58" s="2">
        <v>4</v>
      </c>
      <c r="F58" s="2">
        <v>4</v>
      </c>
      <c r="G58" s="2">
        <v>4</v>
      </c>
      <c r="H58" s="2"/>
      <c r="I58" s="12"/>
      <c r="J58" s="2">
        <f t="shared" si="52"/>
        <v>4</v>
      </c>
      <c r="K58" s="2">
        <v>2</v>
      </c>
      <c r="L58" s="3" t="str">
        <f t="shared" si="43"/>
        <v/>
      </c>
      <c r="M58" s="1">
        <f t="shared" si="44"/>
        <v>1520</v>
      </c>
      <c r="N58" s="1" t="str">
        <f t="shared" si="45"/>
        <v/>
      </c>
      <c r="O58" s="21" t="str">
        <f t="shared" si="46"/>
        <v/>
      </c>
      <c r="P58" s="1">
        <v>1420</v>
      </c>
      <c r="Q58" s="1">
        <f t="shared" si="47"/>
        <v>1520</v>
      </c>
      <c r="R58" s="28">
        <f t="shared" si="48"/>
        <v>100</v>
      </c>
      <c r="S58" s="28"/>
      <c r="T58" s="28">
        <f t="shared" si="8"/>
        <v>8</v>
      </c>
      <c r="U58" s="28"/>
      <c r="V58" s="22">
        <f t="shared" si="49"/>
        <v>3.736842105263158</v>
      </c>
      <c r="W58" s="22">
        <f t="shared" si="50"/>
        <v>4</v>
      </c>
      <c r="X58" s="23">
        <f t="shared" si="51"/>
        <v>0.26315789473684204</v>
      </c>
      <c r="Y58" s="48"/>
      <c r="Z58" s="48"/>
      <c r="AA58" s="48"/>
    </row>
    <row r="59" spans="3:28" ht="14.5" hidden="1" x14ac:dyDescent="0.35">
      <c r="C59" s="13" t="s">
        <v>33</v>
      </c>
      <c r="D59" s="6" t="s">
        <v>43</v>
      </c>
      <c r="E59" s="6">
        <v>4</v>
      </c>
      <c r="F59" s="6">
        <v>4</v>
      </c>
      <c r="G59" s="6">
        <v>4</v>
      </c>
      <c r="H59" s="6"/>
      <c r="I59" s="14"/>
      <c r="J59" s="6">
        <f t="shared" si="52"/>
        <v>4</v>
      </c>
      <c r="K59" s="6">
        <v>2</v>
      </c>
      <c r="L59" s="32" t="str">
        <f t="shared" si="43"/>
        <v/>
      </c>
      <c r="M59" s="7">
        <f t="shared" si="44"/>
        <v>1520</v>
      </c>
      <c r="N59" s="7" t="str">
        <f t="shared" si="45"/>
        <v/>
      </c>
      <c r="O59" s="8" t="str">
        <f t="shared" si="46"/>
        <v/>
      </c>
      <c r="P59" s="7">
        <v>1420</v>
      </c>
      <c r="Q59" s="7">
        <f t="shared" si="47"/>
        <v>1520</v>
      </c>
      <c r="R59" s="30">
        <f t="shared" si="48"/>
        <v>100</v>
      </c>
      <c r="S59" s="30"/>
      <c r="T59" s="30">
        <f t="shared" si="8"/>
        <v>8</v>
      </c>
      <c r="U59" s="30"/>
      <c r="V59" s="26">
        <f t="shared" si="49"/>
        <v>3.736842105263158</v>
      </c>
      <c r="W59" s="26">
        <f t="shared" si="50"/>
        <v>4</v>
      </c>
      <c r="X59" s="27">
        <f t="shared" si="51"/>
        <v>0.26315789473684204</v>
      </c>
      <c r="Y59" s="48"/>
      <c r="Z59" s="48"/>
      <c r="AA59" s="48"/>
    </row>
    <row r="60" spans="3:28" ht="15" hidden="1" customHeight="1" x14ac:dyDescent="0.35"/>
  </sheetData>
  <autoFilter ref="C4:AA48" xr:uid="{A1BCAC33-FCA3-4AA9-8517-1BFD8F288628}"/>
  <mergeCells count="7">
    <mergeCell ref="Y2:AA2"/>
    <mergeCell ref="V2:X2"/>
    <mergeCell ref="C1:I1"/>
    <mergeCell ref="L2:O2"/>
    <mergeCell ref="P2:R2"/>
    <mergeCell ref="S2:U2"/>
    <mergeCell ref="E2:J2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E4F1-63B5-462B-966C-EB9442F53E93}">
  <dimension ref="A1:O426"/>
  <sheetViews>
    <sheetView zoomScale="115" zoomScaleNormal="115" workbookViewId="0">
      <pane ySplit="1" topLeftCell="A406" activePane="bottomLeft" state="frozen"/>
      <selection pane="bottomLeft" activeCell="G428" sqref="G428"/>
    </sheetView>
  </sheetViews>
  <sheetFormatPr defaultRowHeight="14.5" x14ac:dyDescent="0.35"/>
  <cols>
    <col min="1" max="1" width="10.1796875" bestFit="1" customWidth="1"/>
    <col min="2" max="2" width="8" bestFit="1" customWidth="1"/>
    <col min="3" max="3" width="12" bestFit="1" customWidth="1"/>
    <col min="4" max="4" width="7.453125" bestFit="1" customWidth="1"/>
    <col min="5" max="5" width="13.54296875" bestFit="1" customWidth="1"/>
    <col min="6" max="6" width="18.26953125" bestFit="1" customWidth="1"/>
    <col min="7" max="7" width="19.54296875" bestFit="1" customWidth="1"/>
    <col min="8" max="8" width="13.1796875" bestFit="1" customWidth="1"/>
    <col min="9" max="9" width="13.81640625" bestFit="1" customWidth="1"/>
    <col min="10" max="11" width="13.453125" bestFit="1" customWidth="1"/>
    <col min="12" max="12" width="11.7265625" bestFit="1" customWidth="1"/>
    <col min="13" max="15" width="11.453125" bestFit="1" customWidth="1"/>
  </cols>
  <sheetData>
    <row r="1" spans="1:15" x14ac:dyDescent="0.35">
      <c r="A1" s="1" t="s">
        <v>6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51</v>
      </c>
      <c r="M1" s="1" t="s">
        <v>52</v>
      </c>
      <c r="N1" s="1" t="s">
        <v>53</v>
      </c>
      <c r="O1" s="1" t="s">
        <v>21</v>
      </c>
    </row>
    <row r="2" spans="1:15" x14ac:dyDescent="0.35">
      <c r="A2" s="1" t="s">
        <v>29</v>
      </c>
      <c r="B2" s="1">
        <v>1</v>
      </c>
      <c r="C2" s="1" t="s">
        <v>54</v>
      </c>
      <c r="D2" s="1" t="s">
        <v>8</v>
      </c>
      <c r="E2" s="1">
        <f>Capacity!E5</f>
        <v>0</v>
      </c>
      <c r="F2" s="1">
        <f>Capacity!$J$5</f>
        <v>4</v>
      </c>
      <c r="G2" s="1">
        <f>Capacity!$K$5</f>
        <v>1</v>
      </c>
      <c r="H2" s="1">
        <f>Capacity!$L$5</f>
        <v>760</v>
      </c>
      <c r="I2" s="1" t="str">
        <f>Capacity!$M$5</f>
        <v/>
      </c>
      <c r="J2" s="1" t="str">
        <f>Capacity!$N$5</f>
        <v/>
      </c>
      <c r="K2" s="1" t="str">
        <f>Capacity!$O$5</f>
        <v/>
      </c>
      <c r="L2" s="1" t="s">
        <v>2</v>
      </c>
      <c r="M2" s="1">
        <f>Capacity!$P$5</f>
        <v>800</v>
      </c>
      <c r="N2" s="1">
        <f>Capacity!$Q$5</f>
        <v>760</v>
      </c>
      <c r="O2" s="1">
        <f>Capacity!$R$5</f>
        <v>-40</v>
      </c>
    </row>
    <row r="3" spans="1:15" x14ac:dyDescent="0.35">
      <c r="A3" s="1" t="s">
        <v>29</v>
      </c>
      <c r="B3" s="1">
        <v>1</v>
      </c>
      <c r="C3" s="1" t="s">
        <v>54</v>
      </c>
      <c r="D3" s="1" t="s">
        <v>55</v>
      </c>
      <c r="E3" s="1">
        <f>Capacity!F5</f>
        <v>4.5</v>
      </c>
      <c r="F3" s="1">
        <f>Capacity!$J$5</f>
        <v>4</v>
      </c>
      <c r="G3" s="1">
        <f>Capacity!$K$5</f>
        <v>1</v>
      </c>
      <c r="H3" s="1">
        <f>Capacity!$L$5</f>
        <v>760</v>
      </c>
      <c r="I3" s="1" t="str">
        <f>Capacity!$M$5</f>
        <v/>
      </c>
      <c r="J3" s="1" t="str">
        <f>Capacity!$N$5</f>
        <v/>
      </c>
      <c r="K3" s="1" t="str">
        <f>Capacity!$O$5</f>
        <v/>
      </c>
      <c r="L3" s="1" t="s">
        <v>2</v>
      </c>
      <c r="M3" s="1">
        <f>Capacity!$P$5</f>
        <v>800</v>
      </c>
      <c r="N3" s="1">
        <f>Capacity!$Q$5</f>
        <v>760</v>
      </c>
      <c r="O3" s="1">
        <f>Capacity!$R$5</f>
        <v>-40</v>
      </c>
    </row>
    <row r="4" spans="1:15" x14ac:dyDescent="0.35">
      <c r="A4" s="1" t="s">
        <v>29</v>
      </c>
      <c r="B4" s="1">
        <v>1</v>
      </c>
      <c r="C4" s="1" t="s">
        <v>54</v>
      </c>
      <c r="D4" s="1" t="s">
        <v>10</v>
      </c>
      <c r="E4" s="1">
        <f>Capacity!G5</f>
        <v>4</v>
      </c>
      <c r="F4" s="1">
        <f>Capacity!$J$5</f>
        <v>4</v>
      </c>
      <c r="G4" s="1">
        <f>Capacity!$K$5</f>
        <v>1</v>
      </c>
      <c r="H4" s="1">
        <f>Capacity!$L$5</f>
        <v>760</v>
      </c>
      <c r="I4" s="1" t="str">
        <f>Capacity!$M$5</f>
        <v/>
      </c>
      <c r="J4" s="1" t="str">
        <f>Capacity!$N$5</f>
        <v/>
      </c>
      <c r="K4" s="1" t="str">
        <f>Capacity!$O$5</f>
        <v/>
      </c>
      <c r="L4" s="1" t="s">
        <v>2</v>
      </c>
      <c r="M4" s="1">
        <f>Capacity!$P$5</f>
        <v>800</v>
      </c>
      <c r="N4" s="1">
        <f>Capacity!$Q$5</f>
        <v>760</v>
      </c>
      <c r="O4" s="1">
        <f>Capacity!$R$5</f>
        <v>-40</v>
      </c>
    </row>
    <row r="5" spans="1:15" x14ac:dyDescent="0.35">
      <c r="A5" s="1" t="s">
        <v>29</v>
      </c>
      <c r="B5" s="1">
        <v>1</v>
      </c>
      <c r="C5" s="1" t="s">
        <v>54</v>
      </c>
      <c r="D5" s="1" t="s">
        <v>11</v>
      </c>
      <c r="E5" s="1">
        <f>Capacity!H5</f>
        <v>4</v>
      </c>
      <c r="F5" s="1">
        <f>Capacity!$J$5</f>
        <v>4</v>
      </c>
      <c r="G5" s="1">
        <f>Capacity!$K$5</f>
        <v>1</v>
      </c>
      <c r="H5" s="1">
        <f>Capacity!$L$5</f>
        <v>760</v>
      </c>
      <c r="I5" s="1" t="str">
        <f>Capacity!$M$5</f>
        <v/>
      </c>
      <c r="J5" s="1" t="str">
        <f>Capacity!$N$5</f>
        <v/>
      </c>
      <c r="K5" s="1" t="str">
        <f>Capacity!$O$5</f>
        <v/>
      </c>
      <c r="L5" s="1" t="s">
        <v>2</v>
      </c>
      <c r="M5" s="1">
        <f>Capacity!$P$5</f>
        <v>800</v>
      </c>
      <c r="N5" s="1">
        <f>Capacity!$Q$5</f>
        <v>760</v>
      </c>
      <c r="O5" s="1">
        <f>Capacity!$R$5</f>
        <v>-40</v>
      </c>
    </row>
    <row r="6" spans="1:15" x14ac:dyDescent="0.35">
      <c r="A6" s="1" t="s">
        <v>29</v>
      </c>
      <c r="B6" s="1">
        <v>1</v>
      </c>
      <c r="C6" s="1" t="s">
        <v>54</v>
      </c>
      <c r="D6" s="1" t="s">
        <v>12</v>
      </c>
      <c r="E6" s="1">
        <f>Capacity!I5</f>
        <v>4</v>
      </c>
      <c r="F6" s="1">
        <f>Capacity!$J$5</f>
        <v>4</v>
      </c>
      <c r="G6" s="1">
        <f>Capacity!$K$5</f>
        <v>1</v>
      </c>
      <c r="H6" s="1">
        <f>Capacity!$L$5</f>
        <v>760</v>
      </c>
      <c r="I6" s="1" t="str">
        <f>Capacity!$M$5</f>
        <v/>
      </c>
      <c r="J6" s="1" t="str">
        <f>Capacity!$N$5</f>
        <v/>
      </c>
      <c r="K6" s="1" t="str">
        <f>Capacity!$O$5</f>
        <v/>
      </c>
      <c r="L6" s="1" t="s">
        <v>2</v>
      </c>
      <c r="M6" s="1">
        <f>Capacity!$P$5</f>
        <v>800</v>
      </c>
      <c r="N6" s="1">
        <f>Capacity!$Q$5</f>
        <v>760</v>
      </c>
      <c r="O6" s="1">
        <f>Capacity!$R$5</f>
        <v>-40</v>
      </c>
    </row>
    <row r="7" spans="1:15" x14ac:dyDescent="0.35">
      <c r="A7" s="1" t="s">
        <v>29</v>
      </c>
      <c r="B7" s="1">
        <v>1</v>
      </c>
      <c r="C7" s="1" t="s">
        <v>54</v>
      </c>
      <c r="D7" s="1" t="s">
        <v>8</v>
      </c>
      <c r="E7" s="1">
        <f>Capacity!E5</f>
        <v>0</v>
      </c>
      <c r="F7" s="1">
        <f>Capacity!$J$5</f>
        <v>4</v>
      </c>
      <c r="G7" s="1">
        <f>Capacity!$K$5</f>
        <v>1</v>
      </c>
      <c r="H7" s="1">
        <f>Capacity!$L$5</f>
        <v>760</v>
      </c>
      <c r="I7" s="1" t="str">
        <f>Capacity!$M$5</f>
        <v/>
      </c>
      <c r="J7" s="1" t="str">
        <f>Capacity!$N$5</f>
        <v/>
      </c>
      <c r="K7" s="1" t="str">
        <f>Capacity!$O$5</f>
        <v/>
      </c>
      <c r="L7" s="1" t="s">
        <v>3</v>
      </c>
      <c r="M7" s="152">
        <f>Capacity!$S$5</f>
        <v>4.2105263157894735</v>
      </c>
      <c r="N7" s="1">
        <f>Capacity!$T$5</f>
        <v>4</v>
      </c>
      <c r="O7" s="152">
        <f>Capacity!$U$5</f>
        <v>-0.21052631578947345</v>
      </c>
    </row>
    <row r="8" spans="1:15" x14ac:dyDescent="0.35">
      <c r="A8" s="1" t="s">
        <v>29</v>
      </c>
      <c r="B8" s="1">
        <v>1</v>
      </c>
      <c r="C8" s="1" t="s">
        <v>54</v>
      </c>
      <c r="D8" s="1" t="s">
        <v>55</v>
      </c>
      <c r="E8" s="1">
        <f>Capacity!F5</f>
        <v>4.5</v>
      </c>
      <c r="F8" s="1">
        <f>Capacity!$J$5</f>
        <v>4</v>
      </c>
      <c r="G8" s="1">
        <f>Capacity!$K$5</f>
        <v>1</v>
      </c>
      <c r="H8" s="1">
        <f>Capacity!$L$5</f>
        <v>760</v>
      </c>
      <c r="I8" s="1" t="str">
        <f>Capacity!$M$5</f>
        <v/>
      </c>
      <c r="J8" s="1" t="str">
        <f>Capacity!$N$5</f>
        <v/>
      </c>
      <c r="K8" s="1" t="str">
        <f>Capacity!$O$5</f>
        <v/>
      </c>
      <c r="L8" s="1" t="s">
        <v>3</v>
      </c>
      <c r="M8" s="152">
        <f>Capacity!$S$5</f>
        <v>4.2105263157894735</v>
      </c>
      <c r="N8" s="1">
        <f>Capacity!$T$5</f>
        <v>4</v>
      </c>
      <c r="O8" s="152">
        <f>Capacity!$U$5</f>
        <v>-0.21052631578947345</v>
      </c>
    </row>
    <row r="9" spans="1:15" x14ac:dyDescent="0.35">
      <c r="A9" s="1" t="s">
        <v>29</v>
      </c>
      <c r="B9" s="1">
        <v>1</v>
      </c>
      <c r="C9" s="1" t="s">
        <v>54</v>
      </c>
      <c r="D9" s="1" t="s">
        <v>10</v>
      </c>
      <c r="E9" s="1">
        <f>Capacity!G5</f>
        <v>4</v>
      </c>
      <c r="F9" s="1">
        <f>Capacity!$J$5</f>
        <v>4</v>
      </c>
      <c r="G9" s="1">
        <f>Capacity!$K$5</f>
        <v>1</v>
      </c>
      <c r="H9" s="1">
        <f>Capacity!$L$5</f>
        <v>760</v>
      </c>
      <c r="I9" s="1" t="str">
        <f>Capacity!$M$5</f>
        <v/>
      </c>
      <c r="J9" s="1" t="str">
        <f>Capacity!$N$5</f>
        <v/>
      </c>
      <c r="K9" s="1" t="str">
        <f>Capacity!$O$5</f>
        <v/>
      </c>
      <c r="L9" s="1" t="s">
        <v>3</v>
      </c>
      <c r="M9" s="152">
        <f>Capacity!$S$5</f>
        <v>4.2105263157894735</v>
      </c>
      <c r="N9" s="1">
        <f>Capacity!$T$5</f>
        <v>4</v>
      </c>
      <c r="O9" s="152">
        <f>Capacity!$U$5</f>
        <v>-0.21052631578947345</v>
      </c>
    </row>
    <row r="10" spans="1:15" x14ac:dyDescent="0.35">
      <c r="A10" s="1" t="s">
        <v>29</v>
      </c>
      <c r="B10" s="1">
        <v>1</v>
      </c>
      <c r="C10" s="1" t="s">
        <v>54</v>
      </c>
      <c r="D10" s="1" t="s">
        <v>11</v>
      </c>
      <c r="E10" s="1">
        <f>Capacity!H5</f>
        <v>4</v>
      </c>
      <c r="F10" s="1">
        <f>Capacity!$J$5</f>
        <v>4</v>
      </c>
      <c r="G10" s="1">
        <f>Capacity!$K$5</f>
        <v>1</v>
      </c>
      <c r="H10" s="1">
        <f>Capacity!$L$5</f>
        <v>760</v>
      </c>
      <c r="I10" s="1" t="str">
        <f>Capacity!$M$5</f>
        <v/>
      </c>
      <c r="J10" s="1" t="str">
        <f>Capacity!$N$5</f>
        <v/>
      </c>
      <c r="K10" s="1" t="str">
        <f>Capacity!$O$5</f>
        <v/>
      </c>
      <c r="L10" s="1" t="s">
        <v>3</v>
      </c>
      <c r="M10" s="152">
        <f>Capacity!$S$5</f>
        <v>4.2105263157894735</v>
      </c>
      <c r="N10" s="1">
        <f>Capacity!$T$5</f>
        <v>4</v>
      </c>
      <c r="O10" s="152">
        <f>Capacity!$U$5</f>
        <v>-0.21052631578947345</v>
      </c>
    </row>
    <row r="11" spans="1:15" x14ac:dyDescent="0.35">
      <c r="A11" s="1" t="s">
        <v>29</v>
      </c>
      <c r="B11" s="1">
        <v>1</v>
      </c>
      <c r="C11" s="1" t="s">
        <v>54</v>
      </c>
      <c r="D11" s="1" t="s">
        <v>12</v>
      </c>
      <c r="E11" s="1">
        <f>Capacity!I5</f>
        <v>4</v>
      </c>
      <c r="F11" s="1">
        <f>Capacity!$J$5</f>
        <v>4</v>
      </c>
      <c r="G11" s="1">
        <f>Capacity!$K$5</f>
        <v>1</v>
      </c>
      <c r="H11" s="1">
        <f>Capacity!$L$5</f>
        <v>760</v>
      </c>
      <c r="I11" s="1" t="str">
        <f>Capacity!$M$5</f>
        <v/>
      </c>
      <c r="J11" s="1" t="str">
        <f>Capacity!$N$5</f>
        <v/>
      </c>
      <c r="K11" s="1" t="str">
        <f>Capacity!$O$5</f>
        <v/>
      </c>
      <c r="L11" s="1" t="s">
        <v>3</v>
      </c>
      <c r="M11" s="152">
        <f>Capacity!$S$5</f>
        <v>4.2105263157894735</v>
      </c>
      <c r="N11" s="1">
        <f>Capacity!$T$5</f>
        <v>4</v>
      </c>
      <c r="O11" s="152">
        <f>Capacity!$U$5</f>
        <v>-0.21052631578947345</v>
      </c>
    </row>
    <row r="12" spans="1:15" x14ac:dyDescent="0.35">
      <c r="A12" s="1" t="s">
        <v>29</v>
      </c>
      <c r="B12" s="1">
        <v>1</v>
      </c>
      <c r="C12" s="1" t="s">
        <v>54</v>
      </c>
      <c r="D12" s="1" t="s">
        <v>8</v>
      </c>
      <c r="E12" s="1">
        <f>Capacity!E5</f>
        <v>0</v>
      </c>
      <c r="F12" s="1">
        <f>Capacity!$J$5</f>
        <v>4</v>
      </c>
      <c r="G12" s="1">
        <f>Capacity!$K$5</f>
        <v>1</v>
      </c>
      <c r="H12" s="1">
        <f>Capacity!$L$5</f>
        <v>760</v>
      </c>
      <c r="I12" s="1" t="str">
        <f>Capacity!$M$5</f>
        <v/>
      </c>
      <c r="J12" s="1" t="str">
        <f>Capacity!$N$5</f>
        <v/>
      </c>
      <c r="K12" s="1" t="str">
        <f>Capacity!$O$5</f>
        <v/>
      </c>
      <c r="L12" s="1" t="s">
        <v>4</v>
      </c>
      <c r="M12" s="152">
        <f>Capacity!$V$5</f>
        <v>4.2105263157894735</v>
      </c>
      <c r="N12" s="1">
        <f>Capacity!$W$5</f>
        <v>4</v>
      </c>
      <c r="O12" s="152">
        <f>Capacity!$X$5</f>
        <v>-0.21052631578947345</v>
      </c>
    </row>
    <row r="13" spans="1:15" x14ac:dyDescent="0.35">
      <c r="A13" s="1" t="s">
        <v>29</v>
      </c>
      <c r="B13" s="1">
        <v>1</v>
      </c>
      <c r="C13" s="1" t="s">
        <v>54</v>
      </c>
      <c r="D13" s="1" t="s">
        <v>55</v>
      </c>
      <c r="E13" s="1">
        <f>Capacity!F5</f>
        <v>4.5</v>
      </c>
      <c r="F13" s="1">
        <f>Capacity!$J$5</f>
        <v>4</v>
      </c>
      <c r="G13" s="1">
        <f>Capacity!$K$5</f>
        <v>1</v>
      </c>
      <c r="H13" s="1">
        <f>Capacity!$L$5</f>
        <v>760</v>
      </c>
      <c r="I13" s="1" t="str">
        <f>Capacity!$M$5</f>
        <v/>
      </c>
      <c r="J13" s="1" t="str">
        <f>Capacity!$N$5</f>
        <v/>
      </c>
      <c r="K13" s="1" t="str">
        <f>Capacity!$O$5</f>
        <v/>
      </c>
      <c r="L13" s="1" t="s">
        <v>4</v>
      </c>
      <c r="M13" s="152">
        <f>Capacity!$V$5</f>
        <v>4.2105263157894735</v>
      </c>
      <c r="N13" s="1">
        <f>Capacity!$W$5</f>
        <v>4</v>
      </c>
      <c r="O13" s="152">
        <f>Capacity!$X$5</f>
        <v>-0.21052631578947345</v>
      </c>
    </row>
    <row r="14" spans="1:15" x14ac:dyDescent="0.35">
      <c r="A14" s="1" t="s">
        <v>29</v>
      </c>
      <c r="B14" s="1">
        <v>1</v>
      </c>
      <c r="C14" s="1" t="s">
        <v>54</v>
      </c>
      <c r="D14" s="1" t="s">
        <v>10</v>
      </c>
      <c r="E14" s="1">
        <f>Capacity!G5</f>
        <v>4</v>
      </c>
      <c r="F14" s="1">
        <f>Capacity!$J$5</f>
        <v>4</v>
      </c>
      <c r="G14" s="1">
        <f>Capacity!$K$5</f>
        <v>1</v>
      </c>
      <c r="H14" s="1">
        <f>Capacity!$L$5</f>
        <v>760</v>
      </c>
      <c r="I14" s="1" t="str">
        <f>Capacity!$M$5</f>
        <v/>
      </c>
      <c r="J14" s="1" t="str">
        <f>Capacity!$N$5</f>
        <v/>
      </c>
      <c r="K14" s="1" t="str">
        <f>Capacity!$O$5</f>
        <v/>
      </c>
      <c r="L14" s="1" t="s">
        <v>4</v>
      </c>
      <c r="M14" s="152">
        <f>Capacity!$V$5</f>
        <v>4.2105263157894735</v>
      </c>
      <c r="N14" s="1">
        <f>Capacity!$W$5</f>
        <v>4</v>
      </c>
      <c r="O14" s="152">
        <f>Capacity!$X$5</f>
        <v>-0.21052631578947345</v>
      </c>
    </row>
    <row r="15" spans="1:15" x14ac:dyDescent="0.35">
      <c r="A15" s="1" t="s">
        <v>29</v>
      </c>
      <c r="B15" s="1">
        <v>1</v>
      </c>
      <c r="C15" s="1" t="s">
        <v>54</v>
      </c>
      <c r="D15" s="1" t="s">
        <v>11</v>
      </c>
      <c r="E15" s="1">
        <f>Capacity!H5</f>
        <v>4</v>
      </c>
      <c r="F15" s="1">
        <f>Capacity!$J$5</f>
        <v>4</v>
      </c>
      <c r="G15" s="1">
        <f>Capacity!$K$5</f>
        <v>1</v>
      </c>
      <c r="H15" s="1">
        <f>Capacity!$L$5</f>
        <v>760</v>
      </c>
      <c r="I15" s="1" t="str">
        <f>Capacity!$M$5</f>
        <v/>
      </c>
      <c r="J15" s="1" t="str">
        <f>Capacity!$N$5</f>
        <v/>
      </c>
      <c r="K15" s="1" t="str">
        <f>Capacity!$O$5</f>
        <v/>
      </c>
      <c r="L15" s="1" t="s">
        <v>4</v>
      </c>
      <c r="M15" s="152">
        <f>Capacity!$V$5</f>
        <v>4.2105263157894735</v>
      </c>
      <c r="N15" s="1">
        <f>Capacity!$W$5</f>
        <v>4</v>
      </c>
      <c r="O15" s="152">
        <f>Capacity!$X$5</f>
        <v>-0.21052631578947345</v>
      </c>
    </row>
    <row r="16" spans="1:15" x14ac:dyDescent="0.35">
      <c r="A16" s="1" t="s">
        <v>29</v>
      </c>
      <c r="B16" s="1">
        <v>1</v>
      </c>
      <c r="C16" s="1" t="s">
        <v>54</v>
      </c>
      <c r="D16" s="1" t="s">
        <v>12</v>
      </c>
      <c r="E16" s="1">
        <f>Capacity!I5</f>
        <v>4</v>
      </c>
      <c r="F16" s="1">
        <f>Capacity!$J$5</f>
        <v>4</v>
      </c>
      <c r="G16" s="1">
        <f>Capacity!$K$5</f>
        <v>1</v>
      </c>
      <c r="H16" s="1">
        <f>Capacity!$L$5</f>
        <v>760</v>
      </c>
      <c r="I16" s="1" t="str">
        <f>Capacity!$M$5</f>
        <v/>
      </c>
      <c r="J16" s="1" t="str">
        <f>Capacity!$N$5</f>
        <v/>
      </c>
      <c r="K16" s="1" t="str">
        <f>Capacity!$O$5</f>
        <v/>
      </c>
      <c r="L16" s="1" t="s">
        <v>4</v>
      </c>
      <c r="M16" s="152">
        <f>Capacity!$V$5</f>
        <v>4.2105263157894735</v>
      </c>
      <c r="N16" s="1">
        <f>Capacity!$W$5</f>
        <v>4</v>
      </c>
      <c r="O16" s="152">
        <f>Capacity!$X$5</f>
        <v>-0.21052631578947345</v>
      </c>
    </row>
    <row r="17" spans="1:15" x14ac:dyDescent="0.35">
      <c r="A17" s="1" t="s">
        <v>29</v>
      </c>
      <c r="B17" s="1">
        <v>1</v>
      </c>
      <c r="C17" s="1" t="s">
        <v>54</v>
      </c>
      <c r="D17" s="1" t="s">
        <v>8</v>
      </c>
      <c r="E17" s="1">
        <f>Capacity!E5</f>
        <v>0</v>
      </c>
      <c r="F17" s="1">
        <f>Capacity!$J$5</f>
        <v>4</v>
      </c>
      <c r="G17" s="1">
        <f>Capacity!$K$5</f>
        <v>1</v>
      </c>
      <c r="H17" s="1">
        <f>Capacity!$L$5</f>
        <v>760</v>
      </c>
      <c r="I17" s="1" t="str">
        <f>Capacity!$M$5</f>
        <v/>
      </c>
      <c r="J17" s="1" t="str">
        <f>Capacity!$N$5</f>
        <v/>
      </c>
      <c r="K17" s="1" t="str">
        <f>Capacity!$O$5</f>
        <v/>
      </c>
      <c r="L17" s="1" t="s">
        <v>56</v>
      </c>
      <c r="M17" s="152">
        <f>Capacity!$Y$5</f>
        <v>68.085106382978722</v>
      </c>
      <c r="N17" s="152">
        <f>Capacity!$Z$5</f>
        <v>64.680851063829792</v>
      </c>
      <c r="O17" s="152">
        <f>Capacity!$AA$5</f>
        <v>-3.4042553191489304</v>
      </c>
    </row>
    <row r="18" spans="1:15" x14ac:dyDescent="0.35">
      <c r="A18" s="1" t="s">
        <v>29</v>
      </c>
      <c r="B18" s="1">
        <v>1</v>
      </c>
      <c r="C18" s="1" t="s">
        <v>54</v>
      </c>
      <c r="D18" s="1" t="s">
        <v>55</v>
      </c>
      <c r="E18" s="1">
        <f>Capacity!F5</f>
        <v>4.5</v>
      </c>
      <c r="F18" s="1">
        <f>Capacity!$J$5</f>
        <v>4</v>
      </c>
      <c r="G18" s="1">
        <f>Capacity!$K$5</f>
        <v>1</v>
      </c>
      <c r="H18" s="1">
        <f>Capacity!$L$5</f>
        <v>760</v>
      </c>
      <c r="I18" s="1" t="str">
        <f>Capacity!$M$5</f>
        <v/>
      </c>
      <c r="J18" s="1" t="str">
        <f>Capacity!$N$5</f>
        <v/>
      </c>
      <c r="K18" s="1" t="str">
        <f>Capacity!$O$5</f>
        <v/>
      </c>
      <c r="L18" s="1" t="s">
        <v>56</v>
      </c>
      <c r="M18" s="152">
        <f>Capacity!$Y$5</f>
        <v>68.085106382978722</v>
      </c>
      <c r="N18" s="152">
        <f>Capacity!$Z$5</f>
        <v>64.680851063829792</v>
      </c>
      <c r="O18" s="152">
        <f>Capacity!$AA$5</f>
        <v>-3.4042553191489304</v>
      </c>
    </row>
    <row r="19" spans="1:15" x14ac:dyDescent="0.35">
      <c r="A19" s="1" t="s">
        <v>29</v>
      </c>
      <c r="B19" s="1">
        <v>1</v>
      </c>
      <c r="C19" s="1" t="s">
        <v>54</v>
      </c>
      <c r="D19" s="1" t="s">
        <v>10</v>
      </c>
      <c r="E19" s="1">
        <f>Capacity!G5</f>
        <v>4</v>
      </c>
      <c r="F19" s="1">
        <f>Capacity!$J$5</f>
        <v>4</v>
      </c>
      <c r="G19" s="1">
        <f>Capacity!$K$5</f>
        <v>1</v>
      </c>
      <c r="H19" s="1">
        <f>Capacity!$L$5</f>
        <v>760</v>
      </c>
      <c r="I19" s="1" t="str">
        <f>Capacity!$M$5</f>
        <v/>
      </c>
      <c r="J19" s="1" t="str">
        <f>Capacity!$N$5</f>
        <v/>
      </c>
      <c r="K19" s="1" t="str">
        <f>Capacity!$O$5</f>
        <v/>
      </c>
      <c r="L19" s="1" t="s">
        <v>56</v>
      </c>
      <c r="M19" s="152">
        <f>Capacity!$Y$5</f>
        <v>68.085106382978722</v>
      </c>
      <c r="N19" s="152">
        <f>Capacity!$Z$5</f>
        <v>64.680851063829792</v>
      </c>
      <c r="O19" s="152">
        <f>Capacity!$AA$5</f>
        <v>-3.4042553191489304</v>
      </c>
    </row>
    <row r="20" spans="1:15" x14ac:dyDescent="0.35">
      <c r="A20" s="1" t="s">
        <v>29</v>
      </c>
      <c r="B20" s="1">
        <v>1</v>
      </c>
      <c r="C20" s="1" t="s">
        <v>54</v>
      </c>
      <c r="D20" s="1" t="s">
        <v>11</v>
      </c>
      <c r="E20" s="1">
        <f>Capacity!H5</f>
        <v>4</v>
      </c>
      <c r="F20" s="1">
        <f>Capacity!$J$5</f>
        <v>4</v>
      </c>
      <c r="G20" s="1">
        <f>Capacity!$K$5</f>
        <v>1</v>
      </c>
      <c r="H20" s="1">
        <f>Capacity!$L$5</f>
        <v>760</v>
      </c>
      <c r="I20" s="1" t="str">
        <f>Capacity!$M$5</f>
        <v/>
      </c>
      <c r="J20" s="1" t="str">
        <f>Capacity!$N$5</f>
        <v/>
      </c>
      <c r="K20" s="1" t="str">
        <f>Capacity!$O$5</f>
        <v/>
      </c>
      <c r="L20" s="1" t="s">
        <v>56</v>
      </c>
      <c r="M20" s="152">
        <f>Capacity!$Y$5</f>
        <v>68.085106382978722</v>
      </c>
      <c r="N20" s="152">
        <f>Capacity!$Z$5</f>
        <v>64.680851063829792</v>
      </c>
      <c r="O20" s="152">
        <f>Capacity!$AA$5</f>
        <v>-3.4042553191489304</v>
      </c>
    </row>
    <row r="21" spans="1:15" x14ac:dyDescent="0.35">
      <c r="A21" s="1" t="s">
        <v>29</v>
      </c>
      <c r="B21" s="1">
        <v>1</v>
      </c>
      <c r="C21" s="1" t="s">
        <v>54</v>
      </c>
      <c r="D21" s="1" t="s">
        <v>12</v>
      </c>
      <c r="E21" s="1">
        <f>Capacity!I5</f>
        <v>4</v>
      </c>
      <c r="F21" s="1">
        <f>Capacity!$J$5</f>
        <v>4</v>
      </c>
      <c r="G21" s="1">
        <f>Capacity!$K$5</f>
        <v>1</v>
      </c>
      <c r="H21" s="1">
        <f>Capacity!$L$5</f>
        <v>760</v>
      </c>
      <c r="I21" s="1" t="str">
        <f>Capacity!$M$5</f>
        <v/>
      </c>
      <c r="J21" s="1" t="str">
        <f>Capacity!$N$5</f>
        <v/>
      </c>
      <c r="K21" s="1" t="str">
        <f>Capacity!$O$5</f>
        <v/>
      </c>
      <c r="L21" s="1" t="s">
        <v>56</v>
      </c>
      <c r="M21" s="152">
        <f>Capacity!$Y$5</f>
        <v>68.085106382978722</v>
      </c>
      <c r="N21" s="152">
        <f>Capacity!$Z$5</f>
        <v>64.680851063829792</v>
      </c>
      <c r="O21" s="152">
        <f>Capacity!$AA$5</f>
        <v>-3.4042553191489304</v>
      </c>
    </row>
    <row r="22" spans="1:15" x14ac:dyDescent="0.35">
      <c r="A22" s="153" t="s">
        <v>31</v>
      </c>
      <c r="B22" s="153">
        <v>2</v>
      </c>
      <c r="C22" s="1" t="s">
        <v>54</v>
      </c>
      <c r="D22" s="1" t="s">
        <v>8</v>
      </c>
      <c r="E22" s="1">
        <f>Capacity!$E$6</f>
        <v>0</v>
      </c>
      <c r="F22" s="1">
        <f>Capacity!$J$6</f>
        <v>0</v>
      </c>
      <c r="G22" s="1">
        <f>Capacity!$K$6</f>
        <v>0</v>
      </c>
      <c r="H22" s="1" t="str">
        <f>Capacity!$L$6</f>
        <v/>
      </c>
      <c r="I22" s="1" t="str">
        <f>Capacity!$M$6</f>
        <v/>
      </c>
      <c r="J22" s="1" t="str">
        <f>Capacity!$N$6</f>
        <v/>
      </c>
      <c r="K22" s="1" t="str">
        <f>Capacity!$O$6</f>
        <v/>
      </c>
      <c r="L22" s="1" t="s">
        <v>2</v>
      </c>
      <c r="M22" s="1">
        <f>Capacity!$P$6</f>
        <v>0</v>
      </c>
      <c r="N22" s="1">
        <f>Capacity!$Q$6</f>
        <v>0</v>
      </c>
      <c r="O22" s="1">
        <f>Capacity!$R$6</f>
        <v>0</v>
      </c>
    </row>
    <row r="23" spans="1:15" x14ac:dyDescent="0.35">
      <c r="A23" s="153" t="s">
        <v>31</v>
      </c>
      <c r="B23" s="153">
        <v>2</v>
      </c>
      <c r="C23" s="1" t="s">
        <v>54</v>
      </c>
      <c r="D23" s="1" t="s">
        <v>55</v>
      </c>
      <c r="E23" s="1">
        <f>Capacity!$F$6</f>
        <v>0</v>
      </c>
      <c r="F23" s="1">
        <f>Capacity!$J$6</f>
        <v>0</v>
      </c>
      <c r="G23" s="1">
        <f>Capacity!$K$6</f>
        <v>0</v>
      </c>
      <c r="H23" s="1" t="str">
        <f>Capacity!$L$6</f>
        <v/>
      </c>
      <c r="I23" s="1" t="str">
        <f>Capacity!$M$6</f>
        <v/>
      </c>
      <c r="J23" s="1" t="str">
        <f>Capacity!$N$6</f>
        <v/>
      </c>
      <c r="K23" s="1" t="str">
        <f>Capacity!$O$6</f>
        <v/>
      </c>
      <c r="L23" s="1" t="s">
        <v>2</v>
      </c>
      <c r="M23" s="1">
        <f>Capacity!$P$6</f>
        <v>0</v>
      </c>
      <c r="N23" s="1">
        <f>Capacity!$Q$6</f>
        <v>0</v>
      </c>
      <c r="O23" s="1">
        <f>Capacity!$R$6</f>
        <v>0</v>
      </c>
    </row>
    <row r="24" spans="1:15" x14ac:dyDescent="0.35">
      <c r="A24" s="153" t="s">
        <v>31</v>
      </c>
      <c r="B24" s="153">
        <v>2</v>
      </c>
      <c r="C24" s="1" t="s">
        <v>54</v>
      </c>
      <c r="D24" s="1" t="s">
        <v>10</v>
      </c>
      <c r="E24" s="1">
        <f>Capacity!$G$6</f>
        <v>0</v>
      </c>
      <c r="F24" s="1">
        <f>Capacity!$J$6</f>
        <v>0</v>
      </c>
      <c r="G24" s="1">
        <f>Capacity!$K$6</f>
        <v>0</v>
      </c>
      <c r="H24" s="1" t="str">
        <f>Capacity!$L$6</f>
        <v/>
      </c>
      <c r="I24" s="1" t="str">
        <f>Capacity!$M$6</f>
        <v/>
      </c>
      <c r="J24" s="1" t="str">
        <f>Capacity!$N$6</f>
        <v/>
      </c>
      <c r="K24" s="1" t="str">
        <f>Capacity!$O$6</f>
        <v/>
      </c>
      <c r="L24" s="1" t="s">
        <v>2</v>
      </c>
      <c r="M24" s="1">
        <f>Capacity!$P$6</f>
        <v>0</v>
      </c>
      <c r="N24" s="1">
        <f>Capacity!$Q$6</f>
        <v>0</v>
      </c>
      <c r="O24" s="1">
        <f>Capacity!$R$6</f>
        <v>0</v>
      </c>
    </row>
    <row r="25" spans="1:15" x14ac:dyDescent="0.35">
      <c r="A25" s="153" t="s">
        <v>31</v>
      </c>
      <c r="B25" s="153">
        <v>2</v>
      </c>
      <c r="C25" s="1" t="s">
        <v>54</v>
      </c>
      <c r="D25" s="1" t="s">
        <v>11</v>
      </c>
      <c r="E25" s="1">
        <f>Capacity!$H$6</f>
        <v>0</v>
      </c>
      <c r="F25" s="1">
        <f>Capacity!$J$6</f>
        <v>0</v>
      </c>
      <c r="G25" s="1">
        <f>Capacity!$K$6</f>
        <v>0</v>
      </c>
      <c r="H25" s="1" t="str">
        <f>Capacity!$L$6</f>
        <v/>
      </c>
      <c r="I25" s="1" t="str">
        <f>Capacity!$M$6</f>
        <v/>
      </c>
      <c r="J25" s="1" t="str">
        <f>Capacity!$N$6</f>
        <v/>
      </c>
      <c r="K25" s="1" t="str">
        <f>Capacity!$O$6</f>
        <v/>
      </c>
      <c r="L25" s="1" t="s">
        <v>2</v>
      </c>
      <c r="M25" s="1">
        <f>Capacity!$P$6</f>
        <v>0</v>
      </c>
      <c r="N25" s="1">
        <f>Capacity!$Q$6</f>
        <v>0</v>
      </c>
      <c r="O25" s="1">
        <f>Capacity!$R$6</f>
        <v>0</v>
      </c>
    </row>
    <row r="26" spans="1:15" x14ac:dyDescent="0.35">
      <c r="A26" s="153" t="s">
        <v>31</v>
      </c>
      <c r="B26" s="153">
        <v>2</v>
      </c>
      <c r="C26" s="154" t="s">
        <v>54</v>
      </c>
      <c r="D26" s="154" t="s">
        <v>12</v>
      </c>
      <c r="E26" s="1">
        <f>Capacity!$I$6</f>
        <v>0</v>
      </c>
      <c r="F26" s="1">
        <f>Capacity!$J$6</f>
        <v>0</v>
      </c>
      <c r="G26" s="1">
        <f>Capacity!$K$6</f>
        <v>0</v>
      </c>
      <c r="H26" s="1" t="str">
        <f>Capacity!$L$6</f>
        <v/>
      </c>
      <c r="I26" s="1" t="str">
        <f>Capacity!$M$6</f>
        <v/>
      </c>
      <c r="J26" s="1" t="str">
        <f>Capacity!$N$6</f>
        <v/>
      </c>
      <c r="K26" s="1" t="str">
        <f>Capacity!$O$6</f>
        <v/>
      </c>
      <c r="L26" s="1" t="s">
        <v>2</v>
      </c>
      <c r="M26" s="1">
        <f>Capacity!$P$6</f>
        <v>0</v>
      </c>
      <c r="N26" s="1">
        <f>Capacity!$Q$6</f>
        <v>0</v>
      </c>
      <c r="O26" s="1">
        <f>Capacity!$R$6</f>
        <v>0</v>
      </c>
    </row>
    <row r="27" spans="1:15" x14ac:dyDescent="0.35">
      <c r="A27" s="1" t="s">
        <v>29</v>
      </c>
      <c r="B27" s="1">
        <v>1</v>
      </c>
      <c r="C27" s="1" t="s">
        <v>42</v>
      </c>
      <c r="D27" s="1" t="s">
        <v>8</v>
      </c>
      <c r="E27" s="1">
        <f>Capacity!$E$41</f>
        <v>8</v>
      </c>
      <c r="F27" s="1">
        <f>Capacity!$J$41</f>
        <v>8</v>
      </c>
      <c r="G27" s="1">
        <f>Capacity!$K$41</f>
        <v>4</v>
      </c>
      <c r="H27" s="1" t="str">
        <f>Capacity!$L$41</f>
        <v/>
      </c>
      <c r="I27" s="1" t="str">
        <f>Capacity!$M$41</f>
        <v/>
      </c>
      <c r="J27" s="1" t="str">
        <f>Capacity!$N$41</f>
        <v/>
      </c>
      <c r="K27" s="1">
        <f>Capacity!$O$41</f>
        <v>4160</v>
      </c>
      <c r="L27" s="1" t="s">
        <v>2</v>
      </c>
      <c r="M27" s="1">
        <f>Capacity!$P$41</f>
        <v>5117</v>
      </c>
      <c r="N27" s="1">
        <f>Capacity!$Q$41</f>
        <v>4160</v>
      </c>
      <c r="O27" s="1">
        <f>Capacity!$R$41</f>
        <v>-957</v>
      </c>
    </row>
    <row r="28" spans="1:15" x14ac:dyDescent="0.35">
      <c r="A28" s="1" t="s">
        <v>29</v>
      </c>
      <c r="B28" s="1">
        <v>1</v>
      </c>
      <c r="C28" s="1" t="s">
        <v>42</v>
      </c>
      <c r="D28" s="1" t="s">
        <v>55</v>
      </c>
      <c r="E28" s="1">
        <f>Capacity!$F$41</f>
        <v>8</v>
      </c>
      <c r="F28" s="1">
        <f>Capacity!$J$41</f>
        <v>8</v>
      </c>
      <c r="G28" s="1">
        <f>Capacity!$K$41</f>
        <v>4</v>
      </c>
      <c r="H28" s="1" t="str">
        <f>Capacity!$L$41</f>
        <v/>
      </c>
      <c r="I28" s="1" t="str">
        <f>Capacity!$M$41</f>
        <v/>
      </c>
      <c r="J28" s="1" t="str">
        <f>Capacity!$N$41</f>
        <v/>
      </c>
      <c r="K28" s="1">
        <f>Capacity!$O$41</f>
        <v>4160</v>
      </c>
      <c r="L28" s="1" t="s">
        <v>2</v>
      </c>
      <c r="M28" s="1">
        <f>Capacity!$P$41</f>
        <v>5117</v>
      </c>
      <c r="N28" s="1">
        <f>Capacity!$Q$41</f>
        <v>4160</v>
      </c>
      <c r="O28" s="1">
        <f>Capacity!$R$41</f>
        <v>-957</v>
      </c>
    </row>
    <row r="29" spans="1:15" x14ac:dyDescent="0.35">
      <c r="A29" s="1" t="s">
        <v>29</v>
      </c>
      <c r="B29" s="1">
        <v>1</v>
      </c>
      <c r="C29" s="1" t="s">
        <v>42</v>
      </c>
      <c r="D29" s="1" t="s">
        <v>10</v>
      </c>
      <c r="E29" s="1">
        <f>Capacity!$G$41</f>
        <v>8</v>
      </c>
      <c r="F29" s="1">
        <f>Capacity!$J$41</f>
        <v>8</v>
      </c>
      <c r="G29" s="1">
        <f>Capacity!$K$41</f>
        <v>4</v>
      </c>
      <c r="H29" s="1" t="str">
        <f>Capacity!$L$41</f>
        <v/>
      </c>
      <c r="I29" s="1" t="str">
        <f>Capacity!$M$41</f>
        <v/>
      </c>
      <c r="J29" s="1" t="str">
        <f>Capacity!$N$41</f>
        <v/>
      </c>
      <c r="K29" s="1">
        <f>Capacity!$O$41</f>
        <v>4160</v>
      </c>
      <c r="L29" s="1" t="s">
        <v>2</v>
      </c>
      <c r="M29" s="1">
        <f>Capacity!$P$41</f>
        <v>5117</v>
      </c>
      <c r="N29" s="1">
        <f>Capacity!$Q$41</f>
        <v>4160</v>
      </c>
      <c r="O29" s="1">
        <f>Capacity!$R$41</f>
        <v>-957</v>
      </c>
    </row>
    <row r="30" spans="1:15" x14ac:dyDescent="0.35">
      <c r="A30" s="1" t="s">
        <v>29</v>
      </c>
      <c r="B30" s="1">
        <v>1</v>
      </c>
      <c r="C30" s="1" t="s">
        <v>42</v>
      </c>
      <c r="D30" s="1" t="s">
        <v>11</v>
      </c>
      <c r="E30" s="1">
        <f>Capacity!$H$41</f>
        <v>8</v>
      </c>
      <c r="F30" s="1">
        <f>Capacity!$J$41</f>
        <v>8</v>
      </c>
      <c r="G30" s="1">
        <f>Capacity!$K$41</f>
        <v>4</v>
      </c>
      <c r="H30" s="1" t="str">
        <f>Capacity!$L$41</f>
        <v/>
      </c>
      <c r="I30" s="1" t="str">
        <f>Capacity!$M$41</f>
        <v/>
      </c>
      <c r="J30" s="1" t="str">
        <f>Capacity!$N$41</f>
        <v/>
      </c>
      <c r="K30" s="1">
        <f>Capacity!$O$41</f>
        <v>4160</v>
      </c>
      <c r="L30" s="1" t="s">
        <v>2</v>
      </c>
      <c r="M30" s="1">
        <f>Capacity!$P$41</f>
        <v>5117</v>
      </c>
      <c r="N30" s="1">
        <f>Capacity!$Q$41</f>
        <v>4160</v>
      </c>
      <c r="O30" s="1">
        <f>Capacity!$R$41</f>
        <v>-957</v>
      </c>
    </row>
    <row r="31" spans="1:15" x14ac:dyDescent="0.35">
      <c r="A31" s="1" t="s">
        <v>29</v>
      </c>
      <c r="B31" s="1">
        <v>1</v>
      </c>
      <c r="C31" s="1" t="s">
        <v>42</v>
      </c>
      <c r="D31" s="1" t="s">
        <v>12</v>
      </c>
      <c r="E31" s="1">
        <f>Capacity!$I$41</f>
        <v>8</v>
      </c>
      <c r="F31" s="1">
        <f>Capacity!$J$41</f>
        <v>8</v>
      </c>
      <c r="G31" s="1">
        <f>Capacity!$K$41</f>
        <v>4</v>
      </c>
      <c r="H31" s="1" t="str">
        <f>Capacity!$L$41</f>
        <v/>
      </c>
      <c r="I31" s="1" t="str">
        <f>Capacity!$M$41</f>
        <v/>
      </c>
      <c r="J31" s="1" t="str">
        <f>Capacity!$N$41</f>
        <v/>
      </c>
      <c r="K31" s="1">
        <f>Capacity!$O$41</f>
        <v>4160</v>
      </c>
      <c r="L31" s="1" t="s">
        <v>2</v>
      </c>
      <c r="M31" s="1">
        <f>Capacity!$P$41</f>
        <v>5117</v>
      </c>
      <c r="N31" s="1">
        <f>Capacity!$Q$41</f>
        <v>4160</v>
      </c>
      <c r="O31" s="1">
        <f>Capacity!$R$41</f>
        <v>-957</v>
      </c>
    </row>
    <row r="32" spans="1:15" x14ac:dyDescent="0.35">
      <c r="A32" s="1" t="s">
        <v>29</v>
      </c>
      <c r="B32" s="1">
        <v>1</v>
      </c>
      <c r="C32" s="1" t="s">
        <v>42</v>
      </c>
      <c r="D32" s="1" t="s">
        <v>8</v>
      </c>
      <c r="E32" s="1">
        <f>Capacity!$E$41</f>
        <v>8</v>
      </c>
      <c r="F32" s="1">
        <f>Capacity!$J$41</f>
        <v>8</v>
      </c>
      <c r="G32" s="1">
        <f>Capacity!$K$41</f>
        <v>4</v>
      </c>
      <c r="H32" s="1" t="str">
        <f>Capacity!$L$41</f>
        <v/>
      </c>
      <c r="I32" s="1" t="str">
        <f>Capacity!$M$41</f>
        <v/>
      </c>
      <c r="J32" s="1" t="str">
        <f>Capacity!$N$41</f>
        <v/>
      </c>
      <c r="K32" s="1">
        <f>Capacity!$O$41</f>
        <v>4160</v>
      </c>
      <c r="L32" s="1" t="s">
        <v>3</v>
      </c>
      <c r="M32" s="155">
        <f>Capacity!$S$41</f>
        <v>19.680769230769229</v>
      </c>
      <c r="N32" s="1">
        <f>Capacity!$T$41</f>
        <v>16</v>
      </c>
      <c r="O32" s="155">
        <f>Capacity!$U$41</f>
        <v>-3.6807692307692292</v>
      </c>
    </row>
    <row r="33" spans="1:15" x14ac:dyDescent="0.35">
      <c r="A33" s="1" t="s">
        <v>29</v>
      </c>
      <c r="B33" s="1">
        <v>1</v>
      </c>
      <c r="C33" s="1" t="s">
        <v>42</v>
      </c>
      <c r="D33" s="1" t="s">
        <v>55</v>
      </c>
      <c r="E33" s="1">
        <f>Capacity!$F$41</f>
        <v>8</v>
      </c>
      <c r="F33" s="1">
        <f>Capacity!$J$41</f>
        <v>8</v>
      </c>
      <c r="G33" s="1">
        <f>Capacity!$K$41</f>
        <v>4</v>
      </c>
      <c r="H33" s="1" t="str">
        <f>Capacity!$L$41</f>
        <v/>
      </c>
      <c r="I33" s="1" t="str">
        <f>Capacity!$M$41</f>
        <v/>
      </c>
      <c r="J33" s="1" t="str">
        <f>Capacity!$N$41</f>
        <v/>
      </c>
      <c r="K33" s="1">
        <f>Capacity!$O$41</f>
        <v>4160</v>
      </c>
      <c r="L33" s="1" t="s">
        <v>3</v>
      </c>
      <c r="M33" s="155">
        <f>Capacity!$S$41</f>
        <v>19.680769230769229</v>
      </c>
      <c r="N33" s="1">
        <f>Capacity!$T$41</f>
        <v>16</v>
      </c>
      <c r="O33" s="155">
        <f>Capacity!$U$41</f>
        <v>-3.6807692307692292</v>
      </c>
    </row>
    <row r="34" spans="1:15" x14ac:dyDescent="0.35">
      <c r="A34" s="1" t="s">
        <v>29</v>
      </c>
      <c r="B34" s="1">
        <v>1</v>
      </c>
      <c r="C34" s="1" t="s">
        <v>42</v>
      </c>
      <c r="D34" s="1" t="s">
        <v>10</v>
      </c>
      <c r="E34" s="1">
        <f>Capacity!$G$41</f>
        <v>8</v>
      </c>
      <c r="F34" s="1">
        <f>Capacity!$J$41</f>
        <v>8</v>
      </c>
      <c r="G34" s="1">
        <f>Capacity!$K$41</f>
        <v>4</v>
      </c>
      <c r="H34" s="1" t="str">
        <f>Capacity!$L$41</f>
        <v/>
      </c>
      <c r="I34" s="1" t="str">
        <f>Capacity!$M$41</f>
        <v/>
      </c>
      <c r="J34" s="1" t="str">
        <f>Capacity!$N$41</f>
        <v/>
      </c>
      <c r="K34" s="1">
        <f>Capacity!$O$41</f>
        <v>4160</v>
      </c>
      <c r="L34" s="1" t="s">
        <v>3</v>
      </c>
      <c r="M34" s="155">
        <f>Capacity!$S$41</f>
        <v>19.680769230769229</v>
      </c>
      <c r="N34" s="1">
        <f>Capacity!$T$41</f>
        <v>16</v>
      </c>
      <c r="O34" s="155">
        <f>Capacity!$U$41</f>
        <v>-3.6807692307692292</v>
      </c>
    </row>
    <row r="35" spans="1:15" x14ac:dyDescent="0.35">
      <c r="A35" s="1" t="s">
        <v>29</v>
      </c>
      <c r="B35" s="1">
        <v>1</v>
      </c>
      <c r="C35" s="1" t="s">
        <v>42</v>
      </c>
      <c r="D35" s="1" t="s">
        <v>11</v>
      </c>
      <c r="E35" s="1">
        <f>Capacity!$H$41</f>
        <v>8</v>
      </c>
      <c r="F35" s="1">
        <f>Capacity!$J$41</f>
        <v>8</v>
      </c>
      <c r="G35" s="1">
        <f>Capacity!$K$41</f>
        <v>4</v>
      </c>
      <c r="H35" s="1" t="str">
        <f>Capacity!$L$41</f>
        <v/>
      </c>
      <c r="I35" s="1" t="str">
        <f>Capacity!$M$41</f>
        <v/>
      </c>
      <c r="J35" s="1" t="str">
        <f>Capacity!$N$41</f>
        <v/>
      </c>
      <c r="K35" s="1">
        <f>Capacity!$O$41</f>
        <v>4160</v>
      </c>
      <c r="L35" s="1" t="s">
        <v>3</v>
      </c>
      <c r="M35" s="155">
        <f>Capacity!$S$41</f>
        <v>19.680769230769229</v>
      </c>
      <c r="N35" s="1">
        <f>Capacity!$T$41</f>
        <v>16</v>
      </c>
      <c r="O35" s="155">
        <f>Capacity!$U$41</f>
        <v>-3.6807692307692292</v>
      </c>
    </row>
    <row r="36" spans="1:15" x14ac:dyDescent="0.35">
      <c r="A36" s="1" t="s">
        <v>29</v>
      </c>
      <c r="B36" s="1">
        <v>1</v>
      </c>
      <c r="C36" s="1" t="s">
        <v>42</v>
      </c>
      <c r="D36" s="1" t="s">
        <v>12</v>
      </c>
      <c r="E36" s="1">
        <f>Capacity!$I$41</f>
        <v>8</v>
      </c>
      <c r="F36" s="1">
        <f>Capacity!$J$41</f>
        <v>8</v>
      </c>
      <c r="G36" s="1">
        <f>Capacity!$K$41</f>
        <v>4</v>
      </c>
      <c r="H36" s="1" t="str">
        <f>Capacity!$L$41</f>
        <v/>
      </c>
      <c r="I36" s="1" t="str">
        <f>Capacity!$M$41</f>
        <v/>
      </c>
      <c r="J36" s="1" t="str">
        <f>Capacity!$N$41</f>
        <v/>
      </c>
      <c r="K36" s="1">
        <f>Capacity!$O$41</f>
        <v>4160</v>
      </c>
      <c r="L36" s="1" t="s">
        <v>3</v>
      </c>
      <c r="M36" s="155">
        <f>Capacity!$S$41</f>
        <v>19.680769230769229</v>
      </c>
      <c r="N36" s="1">
        <f>Capacity!$T$41</f>
        <v>16</v>
      </c>
      <c r="O36" s="155">
        <f>Capacity!$U$41</f>
        <v>-3.6807692307692292</v>
      </c>
    </row>
    <row r="37" spans="1:15" x14ac:dyDescent="0.35">
      <c r="A37" s="1" t="s">
        <v>29</v>
      </c>
      <c r="B37" s="1">
        <v>1</v>
      </c>
      <c r="C37" s="1" t="s">
        <v>42</v>
      </c>
      <c r="D37" s="1" t="s">
        <v>8</v>
      </c>
      <c r="E37" s="1">
        <f>Capacity!$I$41</f>
        <v>8</v>
      </c>
      <c r="F37" s="1">
        <f>Capacity!$J$41</f>
        <v>8</v>
      </c>
      <c r="G37" s="1">
        <f>Capacity!$K$41</f>
        <v>4</v>
      </c>
      <c r="H37" s="1" t="str">
        <f>Capacity!$L$41</f>
        <v/>
      </c>
      <c r="I37" s="1" t="str">
        <f>Capacity!$M$41</f>
        <v/>
      </c>
      <c r="J37" s="1" t="str">
        <f>Capacity!$N$41</f>
        <v/>
      </c>
      <c r="K37" s="1">
        <f>Capacity!$O$41</f>
        <v>4160</v>
      </c>
      <c r="L37" s="1" t="s">
        <v>4</v>
      </c>
      <c r="M37" s="152">
        <f>Capacity!$V$41</f>
        <v>9.8403846153846146</v>
      </c>
      <c r="N37" s="1">
        <f>Capacity!$W$41</f>
        <v>8</v>
      </c>
      <c r="O37" s="152">
        <f>Capacity!$X$41</f>
        <v>-1.8403846153846146</v>
      </c>
    </row>
    <row r="38" spans="1:15" x14ac:dyDescent="0.35">
      <c r="A38" s="1" t="s">
        <v>29</v>
      </c>
      <c r="B38" s="1">
        <v>1</v>
      </c>
      <c r="C38" s="1" t="s">
        <v>42</v>
      </c>
      <c r="D38" s="1" t="s">
        <v>55</v>
      </c>
      <c r="E38" s="1">
        <f>Capacity!$I$41</f>
        <v>8</v>
      </c>
      <c r="F38" s="1">
        <f>Capacity!$J$41</f>
        <v>8</v>
      </c>
      <c r="G38" s="1">
        <f>Capacity!$K$41</f>
        <v>4</v>
      </c>
      <c r="H38" s="1" t="str">
        <f>Capacity!$L$41</f>
        <v/>
      </c>
      <c r="I38" s="1" t="str">
        <f>Capacity!$M$41</f>
        <v/>
      </c>
      <c r="J38" s="1" t="str">
        <f>Capacity!$N$41</f>
        <v/>
      </c>
      <c r="K38" s="1">
        <f>Capacity!$O$41</f>
        <v>4160</v>
      </c>
      <c r="L38" s="1" t="s">
        <v>4</v>
      </c>
      <c r="M38" s="152">
        <f>Capacity!$V$41</f>
        <v>9.8403846153846146</v>
      </c>
      <c r="N38" s="1">
        <f>Capacity!$W$41</f>
        <v>8</v>
      </c>
      <c r="O38" s="152">
        <f>Capacity!$X$41</f>
        <v>-1.8403846153846146</v>
      </c>
    </row>
    <row r="39" spans="1:15" x14ac:dyDescent="0.35">
      <c r="A39" s="1" t="s">
        <v>29</v>
      </c>
      <c r="B39" s="1">
        <v>1</v>
      </c>
      <c r="C39" s="1" t="s">
        <v>42</v>
      </c>
      <c r="D39" s="1" t="s">
        <v>10</v>
      </c>
      <c r="E39" s="1">
        <f>Capacity!$I$41</f>
        <v>8</v>
      </c>
      <c r="F39" s="1">
        <f>Capacity!$J$41</f>
        <v>8</v>
      </c>
      <c r="G39" s="1">
        <f>Capacity!$K$41</f>
        <v>4</v>
      </c>
      <c r="H39" s="1" t="str">
        <f>Capacity!$L$41</f>
        <v/>
      </c>
      <c r="I39" s="1" t="str">
        <f>Capacity!$M$41</f>
        <v/>
      </c>
      <c r="J39" s="1" t="str">
        <f>Capacity!$N$41</f>
        <v/>
      </c>
      <c r="K39" s="1">
        <f>Capacity!$O$41</f>
        <v>4160</v>
      </c>
      <c r="L39" s="1" t="s">
        <v>4</v>
      </c>
      <c r="M39" s="152">
        <f>Capacity!$V$41</f>
        <v>9.8403846153846146</v>
      </c>
      <c r="N39" s="1">
        <f>Capacity!$W$41</f>
        <v>8</v>
      </c>
      <c r="O39" s="152">
        <f>Capacity!$X$41</f>
        <v>-1.8403846153846146</v>
      </c>
    </row>
    <row r="40" spans="1:15" x14ac:dyDescent="0.35">
      <c r="A40" s="1" t="s">
        <v>29</v>
      </c>
      <c r="B40" s="1">
        <v>1</v>
      </c>
      <c r="C40" s="1" t="s">
        <v>42</v>
      </c>
      <c r="D40" s="1" t="s">
        <v>11</v>
      </c>
      <c r="E40" s="1">
        <f>Capacity!$I$41</f>
        <v>8</v>
      </c>
      <c r="F40" s="1">
        <f>Capacity!$J$41</f>
        <v>8</v>
      </c>
      <c r="G40" s="1">
        <f>Capacity!$K$41</f>
        <v>4</v>
      </c>
      <c r="H40" s="1" t="str">
        <f>Capacity!$L$41</f>
        <v/>
      </c>
      <c r="I40" s="1" t="str">
        <f>Capacity!$M$41</f>
        <v/>
      </c>
      <c r="J40" s="1" t="str">
        <f>Capacity!$N$41</f>
        <v/>
      </c>
      <c r="K40" s="1">
        <f>Capacity!$O$41</f>
        <v>4160</v>
      </c>
      <c r="L40" s="1" t="s">
        <v>4</v>
      </c>
      <c r="M40" s="152">
        <f>Capacity!$V$41</f>
        <v>9.8403846153846146</v>
      </c>
      <c r="N40" s="1">
        <f>Capacity!$W$41</f>
        <v>8</v>
      </c>
      <c r="O40" s="152">
        <f>Capacity!$X$41</f>
        <v>-1.8403846153846146</v>
      </c>
    </row>
    <row r="41" spans="1:15" x14ac:dyDescent="0.35">
      <c r="A41" s="1" t="s">
        <v>29</v>
      </c>
      <c r="B41" s="1">
        <v>1</v>
      </c>
      <c r="C41" s="1" t="s">
        <v>42</v>
      </c>
      <c r="D41" s="1" t="s">
        <v>12</v>
      </c>
      <c r="E41" s="1">
        <f>Capacity!$I$41</f>
        <v>8</v>
      </c>
      <c r="F41" s="1">
        <f>Capacity!$J$41</f>
        <v>8</v>
      </c>
      <c r="G41" s="1">
        <f>Capacity!$K$41</f>
        <v>4</v>
      </c>
      <c r="H41" s="1" t="str">
        <f>Capacity!$L$41</f>
        <v/>
      </c>
      <c r="I41" s="1" t="str">
        <f>Capacity!$M$41</f>
        <v/>
      </c>
      <c r="J41" s="1" t="str">
        <f>Capacity!$N$41</f>
        <v/>
      </c>
      <c r="K41" s="1">
        <f>Capacity!$O$41</f>
        <v>4160</v>
      </c>
      <c r="L41" s="1" t="s">
        <v>4</v>
      </c>
      <c r="M41" s="152">
        <f>Capacity!$V$41</f>
        <v>9.8403846153846146</v>
      </c>
      <c r="N41" s="1">
        <f>Capacity!$W$41</f>
        <v>8</v>
      </c>
      <c r="O41" s="152">
        <f>Capacity!$X$41</f>
        <v>-1.8403846153846146</v>
      </c>
    </row>
    <row r="42" spans="1:15" x14ac:dyDescent="0.35">
      <c r="A42" s="1" t="s">
        <v>29</v>
      </c>
      <c r="B42" s="1">
        <v>1</v>
      </c>
      <c r="C42" s="1" t="s">
        <v>42</v>
      </c>
      <c r="D42" s="1" t="s">
        <v>8</v>
      </c>
      <c r="E42" s="1">
        <f>Capacity!$I$41</f>
        <v>8</v>
      </c>
      <c r="F42" s="1">
        <f>Capacity!$J$41</f>
        <v>8</v>
      </c>
      <c r="G42" s="1">
        <f>Capacity!$K$41</f>
        <v>4</v>
      </c>
      <c r="H42" s="1" t="str">
        <f>Capacity!$L$41</f>
        <v/>
      </c>
      <c r="I42" s="1" t="str">
        <f>Capacity!$M$41</f>
        <v/>
      </c>
      <c r="J42" s="1" t="str">
        <f>Capacity!$N$41</f>
        <v/>
      </c>
      <c r="K42" s="1">
        <f>Capacity!$O$41</f>
        <v>4160</v>
      </c>
      <c r="L42" s="1" t="s">
        <v>56</v>
      </c>
      <c r="M42" s="155">
        <f>Capacity!$Y$41</f>
        <v>435.48936170212767</v>
      </c>
      <c r="N42" s="155">
        <f>Capacity!$Z$41</f>
        <v>354.04255319148939</v>
      </c>
      <c r="O42" s="155">
        <f>Capacity!$AA$41</f>
        <v>-81.446808510638277</v>
      </c>
    </row>
    <row r="43" spans="1:15" x14ac:dyDescent="0.35">
      <c r="A43" s="1" t="s">
        <v>29</v>
      </c>
      <c r="B43" s="1">
        <v>1</v>
      </c>
      <c r="C43" s="1" t="s">
        <v>42</v>
      </c>
      <c r="D43" s="1" t="s">
        <v>55</v>
      </c>
      <c r="E43" s="1">
        <f>Capacity!$I$41</f>
        <v>8</v>
      </c>
      <c r="F43" s="1">
        <f>Capacity!$J$41</f>
        <v>8</v>
      </c>
      <c r="G43" s="1">
        <f>Capacity!$K$41</f>
        <v>4</v>
      </c>
      <c r="H43" s="1" t="str">
        <f>Capacity!$L$41</f>
        <v/>
      </c>
      <c r="I43" s="1" t="str">
        <f>Capacity!$M$41</f>
        <v/>
      </c>
      <c r="J43" s="1" t="str">
        <f>Capacity!$N$41</f>
        <v/>
      </c>
      <c r="K43" s="1">
        <f>Capacity!$O$41</f>
        <v>4160</v>
      </c>
      <c r="L43" s="1" t="s">
        <v>56</v>
      </c>
      <c r="M43" s="155">
        <f>Capacity!$Y$41</f>
        <v>435.48936170212767</v>
      </c>
      <c r="N43" s="155">
        <f>Capacity!$Z$41</f>
        <v>354.04255319148939</v>
      </c>
      <c r="O43" s="155">
        <f>Capacity!$AA$41</f>
        <v>-81.446808510638277</v>
      </c>
    </row>
    <row r="44" spans="1:15" x14ac:dyDescent="0.35">
      <c r="A44" s="1" t="s">
        <v>29</v>
      </c>
      <c r="B44" s="1">
        <v>1</v>
      </c>
      <c r="C44" s="1" t="s">
        <v>42</v>
      </c>
      <c r="D44" s="1" t="s">
        <v>10</v>
      </c>
      <c r="E44" s="1">
        <f>Capacity!$I$41</f>
        <v>8</v>
      </c>
      <c r="F44" s="1">
        <f>Capacity!$J$41</f>
        <v>8</v>
      </c>
      <c r="G44" s="1">
        <f>Capacity!$K$41</f>
        <v>4</v>
      </c>
      <c r="H44" s="1" t="str">
        <f>Capacity!$L$41</f>
        <v/>
      </c>
      <c r="I44" s="1" t="str">
        <f>Capacity!$M$41</f>
        <v/>
      </c>
      <c r="J44" s="1" t="str">
        <f>Capacity!$N$41</f>
        <v/>
      </c>
      <c r="K44" s="1">
        <f>Capacity!$O$41</f>
        <v>4160</v>
      </c>
      <c r="L44" s="1" t="s">
        <v>56</v>
      </c>
      <c r="M44" s="155">
        <f>Capacity!$Y$41</f>
        <v>435.48936170212767</v>
      </c>
      <c r="N44" s="155">
        <f>Capacity!$Z$41</f>
        <v>354.04255319148939</v>
      </c>
      <c r="O44" s="155">
        <f>Capacity!$AA$41</f>
        <v>-81.446808510638277</v>
      </c>
    </row>
    <row r="45" spans="1:15" x14ac:dyDescent="0.35">
      <c r="A45" s="1" t="s">
        <v>29</v>
      </c>
      <c r="B45" s="1">
        <v>1</v>
      </c>
      <c r="C45" s="1" t="s">
        <v>42</v>
      </c>
      <c r="D45" s="1" t="s">
        <v>11</v>
      </c>
      <c r="E45" s="1">
        <f>Capacity!$I$41</f>
        <v>8</v>
      </c>
      <c r="F45" s="1">
        <f>Capacity!$J$41</f>
        <v>8</v>
      </c>
      <c r="G45" s="1">
        <f>Capacity!$K$41</f>
        <v>4</v>
      </c>
      <c r="H45" s="1" t="str">
        <f>Capacity!$L$41</f>
        <v/>
      </c>
      <c r="I45" s="1" t="str">
        <f>Capacity!$M$41</f>
        <v/>
      </c>
      <c r="J45" s="1" t="str">
        <f>Capacity!$N$41</f>
        <v/>
      </c>
      <c r="K45" s="1">
        <f>Capacity!$O$41</f>
        <v>4160</v>
      </c>
      <c r="L45" s="1" t="s">
        <v>56</v>
      </c>
      <c r="M45" s="155">
        <f>Capacity!$Y$41</f>
        <v>435.48936170212767</v>
      </c>
      <c r="N45" s="155">
        <f>Capacity!$Z$41</f>
        <v>354.04255319148939</v>
      </c>
      <c r="O45" s="155">
        <f>Capacity!$AA$41</f>
        <v>-81.446808510638277</v>
      </c>
    </row>
    <row r="46" spans="1:15" x14ac:dyDescent="0.35">
      <c r="A46" s="1" t="s">
        <v>29</v>
      </c>
      <c r="B46" s="1">
        <v>1</v>
      </c>
      <c r="C46" s="1" t="s">
        <v>42</v>
      </c>
      <c r="D46" s="1" t="s">
        <v>12</v>
      </c>
      <c r="E46" s="1">
        <f>Capacity!$I$41</f>
        <v>8</v>
      </c>
      <c r="F46" s="1">
        <f>Capacity!$J$41</f>
        <v>8</v>
      </c>
      <c r="G46" s="1">
        <f>Capacity!$K$41</f>
        <v>4</v>
      </c>
      <c r="H46" s="1" t="str">
        <f>Capacity!$L$41</f>
        <v/>
      </c>
      <c r="I46" s="1" t="str">
        <f>Capacity!$M$41</f>
        <v/>
      </c>
      <c r="J46" s="1" t="str">
        <f>Capacity!$N$41</f>
        <v/>
      </c>
      <c r="K46" s="1">
        <f>Capacity!$O$41</f>
        <v>4160</v>
      </c>
      <c r="L46" s="1" t="s">
        <v>56</v>
      </c>
      <c r="M46" s="155">
        <f>Capacity!$Y$41</f>
        <v>435.48936170212767</v>
      </c>
      <c r="N46" s="155">
        <f>Capacity!$Z$41</f>
        <v>354.04255319148939</v>
      </c>
      <c r="O46" s="155">
        <f>Capacity!$AA$41</f>
        <v>-81.446808510638277</v>
      </c>
    </row>
    <row r="47" spans="1:15" x14ac:dyDescent="0.35">
      <c r="A47" s="1" t="s">
        <v>31</v>
      </c>
      <c r="B47" s="1">
        <v>2</v>
      </c>
      <c r="C47" s="1" t="s">
        <v>42</v>
      </c>
      <c r="D47" s="1" t="s">
        <v>8</v>
      </c>
      <c r="E47" s="1">
        <f>Capacity!$E$42</f>
        <v>10</v>
      </c>
      <c r="F47" s="1">
        <f>Capacity!$J$42</f>
        <v>10</v>
      </c>
      <c r="G47" s="1">
        <f>Capacity!$K$42</f>
        <v>4</v>
      </c>
      <c r="H47" s="1" t="str">
        <f>Capacity!$L$42</f>
        <v/>
      </c>
      <c r="I47" s="1" t="str">
        <f>Capacity!$M$42</f>
        <v/>
      </c>
      <c r="J47" s="1" t="str">
        <f>Capacity!$N$42</f>
        <v/>
      </c>
      <c r="K47" s="1">
        <f>Capacity!$O$42</f>
        <v>5200</v>
      </c>
      <c r="L47" s="1" t="s">
        <v>2</v>
      </c>
      <c r="M47" s="1">
        <f>Capacity!$P$42</f>
        <v>6916</v>
      </c>
      <c r="N47" s="1">
        <f>Capacity!$Q$42</f>
        <v>5200</v>
      </c>
      <c r="O47" s="1">
        <f>Capacity!$R$42</f>
        <v>-1716</v>
      </c>
    </row>
    <row r="48" spans="1:15" x14ac:dyDescent="0.35">
      <c r="A48" s="1" t="s">
        <v>31</v>
      </c>
      <c r="B48" s="1">
        <v>2</v>
      </c>
      <c r="C48" s="1" t="s">
        <v>42</v>
      </c>
      <c r="D48" s="1" t="s">
        <v>55</v>
      </c>
      <c r="E48" s="1">
        <f>Capacity!$F$42</f>
        <v>10</v>
      </c>
      <c r="F48" s="1">
        <f>Capacity!$J$42</f>
        <v>10</v>
      </c>
      <c r="G48" s="1">
        <f>Capacity!$K$42</f>
        <v>4</v>
      </c>
      <c r="H48" s="1" t="str">
        <f>Capacity!$L$42</f>
        <v/>
      </c>
      <c r="I48" s="1" t="str">
        <f>Capacity!$M$42</f>
        <v/>
      </c>
      <c r="J48" s="1" t="str">
        <f>Capacity!$N$42</f>
        <v/>
      </c>
      <c r="K48" s="1">
        <f>Capacity!$O$42</f>
        <v>5200</v>
      </c>
      <c r="L48" s="1" t="s">
        <v>2</v>
      </c>
      <c r="M48" s="1">
        <f>Capacity!$P$42</f>
        <v>6916</v>
      </c>
      <c r="N48" s="1">
        <f>Capacity!$Q$42</f>
        <v>5200</v>
      </c>
      <c r="O48" s="1">
        <f>Capacity!$R$42</f>
        <v>-1716</v>
      </c>
    </row>
    <row r="49" spans="1:15" x14ac:dyDescent="0.35">
      <c r="A49" s="1" t="s">
        <v>31</v>
      </c>
      <c r="B49" s="1">
        <v>2</v>
      </c>
      <c r="C49" s="1" t="s">
        <v>42</v>
      </c>
      <c r="D49" s="1" t="s">
        <v>10</v>
      </c>
      <c r="E49" s="1">
        <f>Capacity!$G$42</f>
        <v>10</v>
      </c>
      <c r="F49" s="1">
        <f>Capacity!$J$42</f>
        <v>10</v>
      </c>
      <c r="G49" s="1">
        <f>Capacity!$K$42</f>
        <v>4</v>
      </c>
      <c r="H49" s="1" t="str">
        <f>Capacity!$L$42</f>
        <v/>
      </c>
      <c r="I49" s="1" t="str">
        <f>Capacity!$M$42</f>
        <v/>
      </c>
      <c r="J49" s="1" t="str">
        <f>Capacity!$N$42</f>
        <v/>
      </c>
      <c r="K49" s="1">
        <f>Capacity!$O$42</f>
        <v>5200</v>
      </c>
      <c r="L49" s="1" t="s">
        <v>2</v>
      </c>
      <c r="M49" s="1">
        <f>Capacity!$P$42</f>
        <v>6916</v>
      </c>
      <c r="N49" s="1">
        <f>Capacity!$Q$42</f>
        <v>5200</v>
      </c>
      <c r="O49" s="1">
        <f>Capacity!$R$42</f>
        <v>-1716</v>
      </c>
    </row>
    <row r="50" spans="1:15" x14ac:dyDescent="0.35">
      <c r="A50" s="1" t="s">
        <v>31</v>
      </c>
      <c r="B50" s="1">
        <v>2</v>
      </c>
      <c r="C50" s="1" t="s">
        <v>42</v>
      </c>
      <c r="D50" s="1" t="s">
        <v>11</v>
      </c>
      <c r="E50" s="1">
        <f>Capacity!$H$42</f>
        <v>10.3</v>
      </c>
      <c r="F50" s="1">
        <f>Capacity!$J$42</f>
        <v>10</v>
      </c>
      <c r="G50" s="1">
        <f>Capacity!$K$42</f>
        <v>4</v>
      </c>
      <c r="H50" s="1" t="str">
        <f>Capacity!$L$42</f>
        <v/>
      </c>
      <c r="I50" s="1" t="str">
        <f>Capacity!$M$42</f>
        <v/>
      </c>
      <c r="J50" s="1" t="str">
        <f>Capacity!$N$42</f>
        <v/>
      </c>
      <c r="K50" s="1">
        <f>Capacity!$O$42</f>
        <v>5200</v>
      </c>
      <c r="L50" s="1" t="s">
        <v>2</v>
      </c>
      <c r="M50" s="1">
        <f>Capacity!$P$42</f>
        <v>6916</v>
      </c>
      <c r="N50" s="1">
        <f>Capacity!$Q$42</f>
        <v>5200</v>
      </c>
      <c r="O50" s="1">
        <f>Capacity!$R$42</f>
        <v>-1716</v>
      </c>
    </row>
    <row r="51" spans="1:15" x14ac:dyDescent="0.35">
      <c r="A51" s="1" t="s">
        <v>31</v>
      </c>
      <c r="B51" s="1">
        <v>2</v>
      </c>
      <c r="C51" s="1" t="s">
        <v>42</v>
      </c>
      <c r="D51" s="1" t="s">
        <v>12</v>
      </c>
      <c r="E51" s="1">
        <f>Capacity!$I$42</f>
        <v>11</v>
      </c>
      <c r="F51" s="1">
        <f>Capacity!$J$42</f>
        <v>10</v>
      </c>
      <c r="G51" s="1">
        <f>Capacity!$K$42</f>
        <v>4</v>
      </c>
      <c r="H51" s="1" t="str">
        <f>Capacity!$L$42</f>
        <v/>
      </c>
      <c r="I51" s="1" t="str">
        <f>Capacity!$M$42</f>
        <v/>
      </c>
      <c r="J51" s="1" t="str">
        <f>Capacity!$N$42</f>
        <v/>
      </c>
      <c r="K51" s="1">
        <f>Capacity!$O$42</f>
        <v>5200</v>
      </c>
      <c r="L51" s="1" t="s">
        <v>2</v>
      </c>
      <c r="M51" s="1">
        <f>Capacity!$P$42</f>
        <v>6916</v>
      </c>
      <c r="N51" s="1">
        <f>Capacity!$Q$42</f>
        <v>5200</v>
      </c>
      <c r="O51" s="1">
        <f>Capacity!$R$42</f>
        <v>-1716</v>
      </c>
    </row>
    <row r="52" spans="1:15" x14ac:dyDescent="0.35">
      <c r="A52" s="1" t="s">
        <v>31</v>
      </c>
      <c r="B52" s="1">
        <v>2</v>
      </c>
      <c r="C52" s="1" t="s">
        <v>42</v>
      </c>
      <c r="D52" s="1" t="s">
        <v>8</v>
      </c>
      <c r="E52" s="1">
        <f>Capacity!$E$42</f>
        <v>10</v>
      </c>
      <c r="F52" s="1">
        <f>Capacity!$J$42</f>
        <v>10</v>
      </c>
      <c r="G52" s="1">
        <f>Capacity!$K$42</f>
        <v>4</v>
      </c>
      <c r="H52" s="1" t="str">
        <f>Capacity!$L$42</f>
        <v/>
      </c>
      <c r="I52" s="1" t="str">
        <f>Capacity!$M$42</f>
        <v/>
      </c>
      <c r="J52" s="1" t="str">
        <f>Capacity!$N$42</f>
        <v/>
      </c>
      <c r="K52" s="1">
        <f>Capacity!$O$42</f>
        <v>5200</v>
      </c>
      <c r="L52" s="1" t="s">
        <v>3</v>
      </c>
      <c r="M52" s="155">
        <f>Capacity!$S$42</f>
        <v>26.6</v>
      </c>
      <c r="N52" s="155">
        <f>Capacity!$T$42</f>
        <v>20</v>
      </c>
      <c r="O52" s="155">
        <f>Capacity!$U$42</f>
        <v>-6.6000000000000014</v>
      </c>
    </row>
    <row r="53" spans="1:15" x14ac:dyDescent="0.35">
      <c r="A53" s="1" t="s">
        <v>31</v>
      </c>
      <c r="B53" s="1">
        <v>2</v>
      </c>
      <c r="C53" s="1" t="s">
        <v>42</v>
      </c>
      <c r="D53" s="1" t="s">
        <v>55</v>
      </c>
      <c r="E53" s="1">
        <f>Capacity!$F$42</f>
        <v>10</v>
      </c>
      <c r="F53" s="1">
        <f>Capacity!$J$42</f>
        <v>10</v>
      </c>
      <c r="G53" s="1">
        <f>Capacity!$K$42</f>
        <v>4</v>
      </c>
      <c r="H53" s="1" t="str">
        <f>Capacity!$L$42</f>
        <v/>
      </c>
      <c r="I53" s="1" t="str">
        <f>Capacity!$M$42</f>
        <v/>
      </c>
      <c r="J53" s="1" t="str">
        <f>Capacity!$N$42</f>
        <v/>
      </c>
      <c r="K53" s="1">
        <f>Capacity!$O$42</f>
        <v>5200</v>
      </c>
      <c r="L53" s="1" t="s">
        <v>3</v>
      </c>
      <c r="M53" s="155">
        <f>Capacity!$S$42</f>
        <v>26.6</v>
      </c>
      <c r="N53" s="155">
        <f>Capacity!$T$42</f>
        <v>20</v>
      </c>
      <c r="O53" s="155">
        <f>Capacity!$U$42</f>
        <v>-6.6000000000000014</v>
      </c>
    </row>
    <row r="54" spans="1:15" x14ac:dyDescent="0.35">
      <c r="A54" s="1" t="s">
        <v>31</v>
      </c>
      <c r="B54" s="1">
        <v>2</v>
      </c>
      <c r="C54" s="1" t="s">
        <v>42</v>
      </c>
      <c r="D54" s="1" t="s">
        <v>10</v>
      </c>
      <c r="E54" s="1">
        <f>Capacity!$G$42</f>
        <v>10</v>
      </c>
      <c r="F54" s="1">
        <f>Capacity!$J$42</f>
        <v>10</v>
      </c>
      <c r="G54" s="1">
        <f>Capacity!$K$42</f>
        <v>4</v>
      </c>
      <c r="H54" s="1" t="str">
        <f>Capacity!$L$42</f>
        <v/>
      </c>
      <c r="I54" s="1" t="str">
        <f>Capacity!$M$42</f>
        <v/>
      </c>
      <c r="J54" s="1" t="str">
        <f>Capacity!$N$42</f>
        <v/>
      </c>
      <c r="K54" s="1">
        <f>Capacity!$O$42</f>
        <v>5200</v>
      </c>
      <c r="L54" s="1" t="s">
        <v>3</v>
      </c>
      <c r="M54" s="155">
        <f>Capacity!$S$42</f>
        <v>26.6</v>
      </c>
      <c r="N54" s="155">
        <f>Capacity!$T$42</f>
        <v>20</v>
      </c>
      <c r="O54" s="155">
        <f>Capacity!$U$42</f>
        <v>-6.6000000000000014</v>
      </c>
    </row>
    <row r="55" spans="1:15" x14ac:dyDescent="0.35">
      <c r="A55" s="1" t="s">
        <v>31</v>
      </c>
      <c r="B55" s="1">
        <v>2</v>
      </c>
      <c r="C55" s="1" t="s">
        <v>42</v>
      </c>
      <c r="D55" s="1" t="s">
        <v>11</v>
      </c>
      <c r="E55" s="1">
        <f>Capacity!$H$42</f>
        <v>10.3</v>
      </c>
      <c r="F55" s="1">
        <f>Capacity!$J$42</f>
        <v>10</v>
      </c>
      <c r="G55" s="1">
        <f>Capacity!$K$42</f>
        <v>4</v>
      </c>
      <c r="H55" s="1" t="str">
        <f>Capacity!$L$42</f>
        <v/>
      </c>
      <c r="I55" s="1" t="str">
        <f>Capacity!$M$42</f>
        <v/>
      </c>
      <c r="J55" s="1" t="str">
        <f>Capacity!$N$42</f>
        <v/>
      </c>
      <c r="K55" s="1">
        <f>Capacity!$O$42</f>
        <v>5200</v>
      </c>
      <c r="L55" s="1" t="s">
        <v>3</v>
      </c>
      <c r="M55" s="155">
        <f>Capacity!$S$42</f>
        <v>26.6</v>
      </c>
      <c r="N55" s="155">
        <f>Capacity!$T$42</f>
        <v>20</v>
      </c>
      <c r="O55" s="155">
        <f>Capacity!$U$42</f>
        <v>-6.6000000000000014</v>
      </c>
    </row>
    <row r="56" spans="1:15" x14ac:dyDescent="0.35">
      <c r="A56" s="1" t="s">
        <v>31</v>
      </c>
      <c r="B56" s="1">
        <v>2</v>
      </c>
      <c r="C56" s="1" t="s">
        <v>42</v>
      </c>
      <c r="D56" s="1" t="s">
        <v>12</v>
      </c>
      <c r="E56" s="1">
        <f>Capacity!$I$42</f>
        <v>11</v>
      </c>
      <c r="F56" s="1">
        <f>Capacity!$J$42</f>
        <v>10</v>
      </c>
      <c r="G56" s="1">
        <f>Capacity!$K$42</f>
        <v>4</v>
      </c>
      <c r="H56" s="1" t="str">
        <f>Capacity!$L$42</f>
        <v/>
      </c>
      <c r="I56" s="1" t="str">
        <f>Capacity!$M$42</f>
        <v/>
      </c>
      <c r="J56" s="1" t="str">
        <f>Capacity!$N$42</f>
        <v/>
      </c>
      <c r="K56" s="1">
        <f>Capacity!$O$42</f>
        <v>5200</v>
      </c>
      <c r="L56" s="1" t="s">
        <v>3</v>
      </c>
      <c r="M56" s="155">
        <f>Capacity!$S$42</f>
        <v>26.6</v>
      </c>
      <c r="N56" s="155">
        <f>Capacity!$T$42</f>
        <v>20</v>
      </c>
      <c r="O56" s="155">
        <f>Capacity!$U$42</f>
        <v>-6.6000000000000014</v>
      </c>
    </row>
    <row r="57" spans="1:15" x14ac:dyDescent="0.35">
      <c r="A57" s="1" t="s">
        <v>31</v>
      </c>
      <c r="B57" s="1">
        <v>2</v>
      </c>
      <c r="C57" s="1" t="s">
        <v>42</v>
      </c>
      <c r="D57" s="1" t="s">
        <v>8</v>
      </c>
      <c r="E57" s="1">
        <f>Capacity!$E$42</f>
        <v>10</v>
      </c>
      <c r="F57" s="1">
        <f>Capacity!$J$42</f>
        <v>10</v>
      </c>
      <c r="G57" s="1">
        <f>Capacity!$K$42</f>
        <v>4</v>
      </c>
      <c r="H57" s="1" t="str">
        <f>Capacity!$L$42</f>
        <v/>
      </c>
      <c r="I57" s="1" t="str">
        <f>Capacity!$M$42</f>
        <v/>
      </c>
      <c r="J57" s="1" t="str">
        <f>Capacity!$N$42</f>
        <v/>
      </c>
      <c r="K57" s="1">
        <f>Capacity!$O$42</f>
        <v>5200</v>
      </c>
      <c r="L57" s="1" t="s">
        <v>4</v>
      </c>
      <c r="M57" s="155">
        <f>Capacity!$V$42</f>
        <v>13.3</v>
      </c>
      <c r="N57" s="155">
        <f>Capacity!$W$42</f>
        <v>10</v>
      </c>
      <c r="O57" s="155">
        <f>Capacity!$X$42</f>
        <v>-3.3000000000000007</v>
      </c>
    </row>
    <row r="58" spans="1:15" x14ac:dyDescent="0.35">
      <c r="A58" s="1" t="s">
        <v>31</v>
      </c>
      <c r="B58" s="1">
        <v>2</v>
      </c>
      <c r="C58" s="1" t="s">
        <v>42</v>
      </c>
      <c r="D58" s="1" t="s">
        <v>55</v>
      </c>
      <c r="E58" s="1">
        <f>Capacity!$F$42</f>
        <v>10</v>
      </c>
      <c r="F58" s="1">
        <f>Capacity!$J$42</f>
        <v>10</v>
      </c>
      <c r="G58" s="1">
        <f>Capacity!$K$42</f>
        <v>4</v>
      </c>
      <c r="H58" s="1" t="str">
        <f>Capacity!$L$42</f>
        <v/>
      </c>
      <c r="I58" s="1" t="str">
        <f>Capacity!$M$42</f>
        <v/>
      </c>
      <c r="J58" s="1" t="str">
        <f>Capacity!$N$42</f>
        <v/>
      </c>
      <c r="K58" s="1">
        <f>Capacity!$O$42</f>
        <v>5200</v>
      </c>
      <c r="L58" s="1" t="s">
        <v>4</v>
      </c>
      <c r="M58" s="155">
        <f>Capacity!$V$42</f>
        <v>13.3</v>
      </c>
      <c r="N58" s="155">
        <f>Capacity!$W$42</f>
        <v>10</v>
      </c>
      <c r="O58" s="155">
        <f>Capacity!$X$42</f>
        <v>-3.3000000000000007</v>
      </c>
    </row>
    <row r="59" spans="1:15" x14ac:dyDescent="0.35">
      <c r="A59" s="1" t="s">
        <v>31</v>
      </c>
      <c r="B59" s="1">
        <v>2</v>
      </c>
      <c r="C59" s="1" t="s">
        <v>42</v>
      </c>
      <c r="D59" s="1" t="s">
        <v>10</v>
      </c>
      <c r="E59" s="1">
        <f>Capacity!$G$42</f>
        <v>10</v>
      </c>
      <c r="F59" s="1">
        <f>Capacity!$J$42</f>
        <v>10</v>
      </c>
      <c r="G59" s="1">
        <f>Capacity!$K$42</f>
        <v>4</v>
      </c>
      <c r="H59" s="1" t="str">
        <f>Capacity!$L$42</f>
        <v/>
      </c>
      <c r="I59" s="1" t="str">
        <f>Capacity!$M$42</f>
        <v/>
      </c>
      <c r="J59" s="1" t="str">
        <f>Capacity!$N$42</f>
        <v/>
      </c>
      <c r="K59" s="1">
        <f>Capacity!$O$42</f>
        <v>5200</v>
      </c>
      <c r="L59" s="1" t="s">
        <v>4</v>
      </c>
      <c r="M59" s="155">
        <f>Capacity!$V$42</f>
        <v>13.3</v>
      </c>
      <c r="N59" s="155">
        <f>Capacity!$W$42</f>
        <v>10</v>
      </c>
      <c r="O59" s="155">
        <f>Capacity!$X$42</f>
        <v>-3.3000000000000007</v>
      </c>
    </row>
    <row r="60" spans="1:15" x14ac:dyDescent="0.35">
      <c r="A60" s="1" t="s">
        <v>31</v>
      </c>
      <c r="B60" s="1">
        <v>2</v>
      </c>
      <c r="C60" s="1" t="s">
        <v>42</v>
      </c>
      <c r="D60" s="1" t="s">
        <v>11</v>
      </c>
      <c r="E60" s="1">
        <f>Capacity!$H$42</f>
        <v>10.3</v>
      </c>
      <c r="F60" s="1">
        <f>Capacity!$J$42</f>
        <v>10</v>
      </c>
      <c r="G60" s="1">
        <f>Capacity!$K$42</f>
        <v>4</v>
      </c>
      <c r="H60" s="1" t="str">
        <f>Capacity!$L$42</f>
        <v/>
      </c>
      <c r="I60" s="1" t="str">
        <f>Capacity!$M$42</f>
        <v/>
      </c>
      <c r="J60" s="1" t="str">
        <f>Capacity!$N$42</f>
        <v/>
      </c>
      <c r="K60" s="1">
        <f>Capacity!$O$42</f>
        <v>5200</v>
      </c>
      <c r="L60" s="1" t="s">
        <v>4</v>
      </c>
      <c r="M60" s="155">
        <f>Capacity!$V$42</f>
        <v>13.3</v>
      </c>
      <c r="N60" s="155">
        <f>Capacity!$W$42</f>
        <v>10</v>
      </c>
      <c r="O60" s="155">
        <f>Capacity!$X$42</f>
        <v>-3.3000000000000007</v>
      </c>
    </row>
    <row r="61" spans="1:15" x14ac:dyDescent="0.35">
      <c r="A61" s="1" t="s">
        <v>31</v>
      </c>
      <c r="B61" s="1">
        <v>2</v>
      </c>
      <c r="C61" s="1" t="s">
        <v>42</v>
      </c>
      <c r="D61" s="1" t="s">
        <v>12</v>
      </c>
      <c r="E61" s="1">
        <f>Capacity!$I$42</f>
        <v>11</v>
      </c>
      <c r="F61" s="1">
        <f>Capacity!$J$42</f>
        <v>10</v>
      </c>
      <c r="G61" s="1">
        <f>Capacity!$K$42</f>
        <v>4</v>
      </c>
      <c r="H61" s="1" t="str">
        <f>Capacity!$L$42</f>
        <v/>
      </c>
      <c r="I61" s="1" t="str">
        <f>Capacity!$M$42</f>
        <v/>
      </c>
      <c r="J61" s="1" t="str">
        <f>Capacity!$N$42</f>
        <v/>
      </c>
      <c r="K61" s="1">
        <f>Capacity!$O$42</f>
        <v>5200</v>
      </c>
      <c r="L61" s="1" t="s">
        <v>4</v>
      </c>
      <c r="M61" s="155">
        <f>Capacity!$V$42</f>
        <v>13.3</v>
      </c>
      <c r="N61" s="155">
        <f>Capacity!$W$42</f>
        <v>10</v>
      </c>
      <c r="O61" s="155">
        <f>Capacity!$X$42</f>
        <v>-3.3000000000000007</v>
      </c>
    </row>
    <row r="62" spans="1:15" x14ac:dyDescent="0.35">
      <c r="A62" s="1" t="s">
        <v>31</v>
      </c>
      <c r="B62" s="1">
        <v>2</v>
      </c>
      <c r="C62" s="1" t="s">
        <v>42</v>
      </c>
      <c r="D62" s="1" t="s">
        <v>8</v>
      </c>
      <c r="E62" s="1">
        <f>Capacity!$E$42</f>
        <v>10</v>
      </c>
      <c r="F62" s="1">
        <f>Capacity!$J$42</f>
        <v>10</v>
      </c>
      <c r="G62" s="1">
        <f>Capacity!$K$42</f>
        <v>4</v>
      </c>
      <c r="H62" s="1" t="str">
        <f>Capacity!$L$42</f>
        <v/>
      </c>
      <c r="I62" s="1" t="str">
        <f>Capacity!$M$42</f>
        <v/>
      </c>
      <c r="J62" s="1" t="str">
        <f>Capacity!$N$42</f>
        <v/>
      </c>
      <c r="K62" s="1">
        <f>Capacity!$O$42</f>
        <v>5200</v>
      </c>
      <c r="L62" s="1" t="s">
        <v>56</v>
      </c>
      <c r="M62" s="155">
        <f>Capacity!$Y$42</f>
        <v>588.59574468085111</v>
      </c>
      <c r="N62" s="155">
        <f>Capacity!$Z$42</f>
        <v>442.55319148936172</v>
      </c>
      <c r="O62" s="155">
        <f>Capacity!$AA$42</f>
        <v>-146.04255319148939</v>
      </c>
    </row>
    <row r="63" spans="1:15" x14ac:dyDescent="0.35">
      <c r="A63" s="1" t="s">
        <v>31</v>
      </c>
      <c r="B63" s="1">
        <v>2</v>
      </c>
      <c r="C63" s="1" t="s">
        <v>42</v>
      </c>
      <c r="D63" s="1" t="s">
        <v>55</v>
      </c>
      <c r="E63" s="1">
        <f>Capacity!$F$42</f>
        <v>10</v>
      </c>
      <c r="F63" s="1">
        <f>Capacity!$J$42</f>
        <v>10</v>
      </c>
      <c r="G63" s="1">
        <f>Capacity!$K$42</f>
        <v>4</v>
      </c>
      <c r="H63" s="1" t="str">
        <f>Capacity!$L$42</f>
        <v/>
      </c>
      <c r="I63" s="1" t="str">
        <f>Capacity!$M$42</f>
        <v/>
      </c>
      <c r="J63" s="1" t="str">
        <f>Capacity!$N$42</f>
        <v/>
      </c>
      <c r="K63" s="1">
        <f>Capacity!$O$42</f>
        <v>5200</v>
      </c>
      <c r="L63" s="1" t="s">
        <v>56</v>
      </c>
      <c r="M63" s="155">
        <f>Capacity!$Y$42</f>
        <v>588.59574468085111</v>
      </c>
      <c r="N63" s="155">
        <f>Capacity!$Z$42</f>
        <v>442.55319148936172</v>
      </c>
      <c r="O63" s="155">
        <f>Capacity!$AA$42</f>
        <v>-146.04255319148939</v>
      </c>
    </row>
    <row r="64" spans="1:15" x14ac:dyDescent="0.35">
      <c r="A64" s="1" t="s">
        <v>31</v>
      </c>
      <c r="B64" s="1">
        <v>2</v>
      </c>
      <c r="C64" s="1" t="s">
        <v>42</v>
      </c>
      <c r="D64" s="1" t="s">
        <v>10</v>
      </c>
      <c r="E64" s="1">
        <f>Capacity!$G$42</f>
        <v>10</v>
      </c>
      <c r="F64" s="1">
        <f>Capacity!$J$42</f>
        <v>10</v>
      </c>
      <c r="G64" s="1">
        <f>Capacity!$K$42</f>
        <v>4</v>
      </c>
      <c r="H64" s="1" t="str">
        <f>Capacity!$L$42</f>
        <v/>
      </c>
      <c r="I64" s="1" t="str">
        <f>Capacity!$M$42</f>
        <v/>
      </c>
      <c r="J64" s="1" t="str">
        <f>Capacity!$N$42</f>
        <v/>
      </c>
      <c r="K64" s="1">
        <f>Capacity!$O$42</f>
        <v>5200</v>
      </c>
      <c r="L64" s="1" t="s">
        <v>56</v>
      </c>
      <c r="M64" s="155">
        <f>Capacity!$Y$42</f>
        <v>588.59574468085111</v>
      </c>
      <c r="N64" s="155">
        <f>Capacity!$Z$42</f>
        <v>442.55319148936172</v>
      </c>
      <c r="O64" s="155">
        <f>Capacity!$AA$42</f>
        <v>-146.04255319148939</v>
      </c>
    </row>
    <row r="65" spans="1:15" x14ac:dyDescent="0.35">
      <c r="A65" s="1" t="s">
        <v>31</v>
      </c>
      <c r="B65" s="1">
        <v>2</v>
      </c>
      <c r="C65" s="1" t="s">
        <v>42</v>
      </c>
      <c r="D65" s="1" t="s">
        <v>11</v>
      </c>
      <c r="E65" s="1">
        <f>Capacity!$H$42</f>
        <v>10.3</v>
      </c>
      <c r="F65" s="1">
        <f>Capacity!$J$42</f>
        <v>10</v>
      </c>
      <c r="G65" s="1">
        <f>Capacity!$K$42</f>
        <v>4</v>
      </c>
      <c r="H65" s="1" t="str">
        <f>Capacity!$L$42</f>
        <v/>
      </c>
      <c r="I65" s="1" t="str">
        <f>Capacity!$M$42</f>
        <v/>
      </c>
      <c r="J65" s="1" t="str">
        <f>Capacity!$N$42</f>
        <v/>
      </c>
      <c r="K65" s="1">
        <f>Capacity!$O$42</f>
        <v>5200</v>
      </c>
      <c r="L65" s="1" t="s">
        <v>56</v>
      </c>
      <c r="M65" s="155">
        <f>Capacity!$Y$42</f>
        <v>588.59574468085111</v>
      </c>
      <c r="N65" s="155">
        <f>Capacity!$Z$42</f>
        <v>442.55319148936172</v>
      </c>
      <c r="O65" s="155">
        <f>Capacity!$AA$42</f>
        <v>-146.04255319148939</v>
      </c>
    </row>
    <row r="66" spans="1:15" x14ac:dyDescent="0.35">
      <c r="A66" s="1" t="s">
        <v>31</v>
      </c>
      <c r="B66" s="1">
        <v>2</v>
      </c>
      <c r="C66" s="1" t="s">
        <v>42</v>
      </c>
      <c r="D66" s="1" t="s">
        <v>12</v>
      </c>
      <c r="E66" s="1">
        <f>Capacity!$I$42</f>
        <v>11</v>
      </c>
      <c r="F66" s="1">
        <f>Capacity!$J$42</f>
        <v>10</v>
      </c>
      <c r="G66" s="1">
        <f>Capacity!$K$42</f>
        <v>4</v>
      </c>
      <c r="H66" s="1" t="str">
        <f>Capacity!$L$42</f>
        <v/>
      </c>
      <c r="I66" s="1" t="str">
        <f>Capacity!$M$42</f>
        <v/>
      </c>
      <c r="J66" s="1" t="str">
        <f>Capacity!$N$42</f>
        <v/>
      </c>
      <c r="K66" s="1">
        <f>Capacity!$O$42</f>
        <v>5200</v>
      </c>
      <c r="L66" s="1" t="s">
        <v>56</v>
      </c>
      <c r="M66" s="155">
        <f>Capacity!$Y$42</f>
        <v>588.59574468085111</v>
      </c>
      <c r="N66" s="155">
        <f>Capacity!$Z$42</f>
        <v>442.55319148936172</v>
      </c>
      <c r="O66" s="155">
        <f>Capacity!$AA$42</f>
        <v>-146.04255319148939</v>
      </c>
    </row>
    <row r="67" spans="1:15" x14ac:dyDescent="0.35">
      <c r="A67" s="1" t="s">
        <v>32</v>
      </c>
      <c r="B67" s="1">
        <v>3</v>
      </c>
      <c r="C67" s="1" t="s">
        <v>42</v>
      </c>
      <c r="D67" s="1" t="s">
        <v>8</v>
      </c>
      <c r="E67" s="1">
        <f>Capacity!$E$43</f>
        <v>17</v>
      </c>
      <c r="F67" s="1">
        <f>Capacity!$J$43</f>
        <v>17</v>
      </c>
      <c r="G67" s="1">
        <f>Capacity!$K$43</f>
        <v>4</v>
      </c>
      <c r="H67" s="1" t="str">
        <f>Capacity!$L$43</f>
        <v/>
      </c>
      <c r="I67" s="1" t="str">
        <f>Capacity!$M$43</f>
        <v/>
      </c>
      <c r="J67" s="1" t="str">
        <f>Capacity!$N$43</f>
        <v/>
      </c>
      <c r="K67" s="1">
        <f>Capacity!$O$43</f>
        <v>8840</v>
      </c>
      <c r="L67" s="1" t="s">
        <v>2</v>
      </c>
      <c r="M67" s="1">
        <f>Capacity!$P$43</f>
        <v>11604</v>
      </c>
      <c r="N67" s="1">
        <f>Capacity!$Q$43</f>
        <v>8840</v>
      </c>
      <c r="O67" s="1">
        <f>Capacity!$R$43</f>
        <v>-2764</v>
      </c>
    </row>
    <row r="68" spans="1:15" x14ac:dyDescent="0.35">
      <c r="A68" s="1" t="s">
        <v>32</v>
      </c>
      <c r="B68" s="1">
        <v>3</v>
      </c>
      <c r="C68" s="1" t="s">
        <v>42</v>
      </c>
      <c r="D68" s="1" t="s">
        <v>55</v>
      </c>
      <c r="E68" s="1">
        <f>Capacity!$F$43</f>
        <v>17</v>
      </c>
      <c r="F68" s="1">
        <f>Capacity!$J$43</f>
        <v>17</v>
      </c>
      <c r="G68" s="1">
        <f>Capacity!$K$43</f>
        <v>4</v>
      </c>
      <c r="H68" s="1" t="str">
        <f>Capacity!$L$43</f>
        <v/>
      </c>
      <c r="I68" s="1" t="str">
        <f>Capacity!$M$43</f>
        <v/>
      </c>
      <c r="J68" s="1" t="str">
        <f>Capacity!$N$43</f>
        <v/>
      </c>
      <c r="K68" s="1">
        <f>Capacity!$O$43</f>
        <v>8840</v>
      </c>
      <c r="L68" s="1" t="s">
        <v>2</v>
      </c>
      <c r="M68" s="1">
        <f>Capacity!$P$43</f>
        <v>11604</v>
      </c>
      <c r="N68" s="1">
        <f>Capacity!$Q$43</f>
        <v>8840</v>
      </c>
      <c r="O68" s="1">
        <f>Capacity!$R$43</f>
        <v>-2764</v>
      </c>
    </row>
    <row r="69" spans="1:15" x14ac:dyDescent="0.35">
      <c r="A69" s="1" t="s">
        <v>32</v>
      </c>
      <c r="B69" s="1">
        <v>3</v>
      </c>
      <c r="C69" s="1" t="s">
        <v>42</v>
      </c>
      <c r="D69" s="1" t="s">
        <v>10</v>
      </c>
      <c r="E69" s="1">
        <f>Capacity!$G$43</f>
        <v>17</v>
      </c>
      <c r="F69" s="1">
        <f>Capacity!$J$43</f>
        <v>17</v>
      </c>
      <c r="G69" s="1">
        <f>Capacity!$K$43</f>
        <v>4</v>
      </c>
      <c r="H69" s="1" t="str">
        <f>Capacity!$L$43</f>
        <v/>
      </c>
      <c r="I69" s="1" t="str">
        <f>Capacity!$M$43</f>
        <v/>
      </c>
      <c r="J69" s="1" t="str">
        <f>Capacity!$N$43</f>
        <v/>
      </c>
      <c r="K69" s="1">
        <f>Capacity!$O$43</f>
        <v>8840</v>
      </c>
      <c r="L69" s="1" t="s">
        <v>2</v>
      </c>
      <c r="M69" s="1">
        <f>Capacity!$P$43</f>
        <v>11604</v>
      </c>
      <c r="N69" s="1">
        <f>Capacity!$Q$43</f>
        <v>8840</v>
      </c>
      <c r="O69" s="1">
        <f>Capacity!$R$43</f>
        <v>-2764</v>
      </c>
    </row>
    <row r="70" spans="1:15" x14ac:dyDescent="0.35">
      <c r="A70" s="1" t="s">
        <v>32</v>
      </c>
      <c r="B70" s="1">
        <v>3</v>
      </c>
      <c r="C70" s="1" t="s">
        <v>42</v>
      </c>
      <c r="D70" s="1" t="s">
        <v>11</v>
      </c>
      <c r="E70" s="1">
        <f>Capacity!$H$43</f>
        <v>17</v>
      </c>
      <c r="F70" s="1">
        <f>Capacity!$J$43</f>
        <v>17</v>
      </c>
      <c r="G70" s="1">
        <f>Capacity!$K$43</f>
        <v>4</v>
      </c>
      <c r="H70" s="1" t="str">
        <f>Capacity!$L$43</f>
        <v/>
      </c>
      <c r="I70" s="1" t="str">
        <f>Capacity!$M$43</f>
        <v/>
      </c>
      <c r="J70" s="1" t="str">
        <f>Capacity!$N$43</f>
        <v/>
      </c>
      <c r="K70" s="1">
        <f>Capacity!$O$43</f>
        <v>8840</v>
      </c>
      <c r="L70" s="1" t="s">
        <v>2</v>
      </c>
      <c r="M70" s="1">
        <f>Capacity!$P$43</f>
        <v>11604</v>
      </c>
      <c r="N70" s="1">
        <f>Capacity!$Q$43</f>
        <v>8840</v>
      </c>
      <c r="O70" s="1">
        <f>Capacity!$R$43</f>
        <v>-2764</v>
      </c>
    </row>
    <row r="71" spans="1:15" x14ac:dyDescent="0.35">
      <c r="A71" s="1" t="s">
        <v>32</v>
      </c>
      <c r="B71" s="1">
        <v>3</v>
      </c>
      <c r="C71" s="1" t="s">
        <v>42</v>
      </c>
      <c r="D71" s="1" t="s">
        <v>12</v>
      </c>
      <c r="E71" s="1">
        <f>Capacity!$I$43</f>
        <v>17</v>
      </c>
      <c r="F71" s="1">
        <f>Capacity!$J$43</f>
        <v>17</v>
      </c>
      <c r="G71" s="1">
        <f>Capacity!$K$43</f>
        <v>4</v>
      </c>
      <c r="H71" s="1" t="str">
        <f>Capacity!$L$43</f>
        <v/>
      </c>
      <c r="I71" s="1" t="str">
        <f>Capacity!$M$43</f>
        <v/>
      </c>
      <c r="J71" s="1" t="str">
        <f>Capacity!$N$43</f>
        <v/>
      </c>
      <c r="K71" s="1">
        <f>Capacity!$O$43</f>
        <v>8840</v>
      </c>
      <c r="L71" s="1" t="s">
        <v>2</v>
      </c>
      <c r="M71" s="1">
        <f>Capacity!$P$43</f>
        <v>11604</v>
      </c>
      <c r="N71" s="1">
        <f>Capacity!$Q$43</f>
        <v>8840</v>
      </c>
      <c r="O71" s="1">
        <f>Capacity!$R$43</f>
        <v>-2764</v>
      </c>
    </row>
    <row r="72" spans="1:15" x14ac:dyDescent="0.35">
      <c r="A72" s="1" t="s">
        <v>32</v>
      </c>
      <c r="B72" s="1">
        <v>3</v>
      </c>
      <c r="C72" s="1" t="s">
        <v>42</v>
      </c>
      <c r="D72" s="1" t="s">
        <v>8</v>
      </c>
      <c r="E72" s="1">
        <f>Capacity!$I$43</f>
        <v>17</v>
      </c>
      <c r="F72" s="1">
        <f>Capacity!$J$43</f>
        <v>17</v>
      </c>
      <c r="G72" s="1">
        <f>Capacity!$K$43</f>
        <v>4</v>
      </c>
      <c r="H72" s="1" t="str">
        <f>Capacity!$L$43</f>
        <v/>
      </c>
      <c r="I72" s="1" t="str">
        <f>Capacity!$M$43</f>
        <v/>
      </c>
      <c r="J72" s="1" t="str">
        <f>Capacity!$N$43</f>
        <v/>
      </c>
      <c r="K72" s="1">
        <f>Capacity!$O$43</f>
        <v>8840</v>
      </c>
      <c r="L72" s="1" t="s">
        <v>3</v>
      </c>
      <c r="M72" s="155">
        <f>Capacity!$S$43</f>
        <v>44.630769230769232</v>
      </c>
      <c r="N72" s="155">
        <f>Capacity!$T$43</f>
        <v>34</v>
      </c>
      <c r="O72" s="155">
        <f>Capacity!$U$43</f>
        <v>-10.630769230769232</v>
      </c>
    </row>
    <row r="73" spans="1:15" x14ac:dyDescent="0.35">
      <c r="A73" s="1" t="s">
        <v>32</v>
      </c>
      <c r="B73" s="1">
        <v>3</v>
      </c>
      <c r="C73" s="1" t="s">
        <v>42</v>
      </c>
      <c r="D73" s="1" t="s">
        <v>55</v>
      </c>
      <c r="E73" s="1">
        <f>Capacity!$I$43</f>
        <v>17</v>
      </c>
      <c r="F73" s="1">
        <f>Capacity!$J$43</f>
        <v>17</v>
      </c>
      <c r="G73" s="1">
        <f>Capacity!$K$43</f>
        <v>4</v>
      </c>
      <c r="H73" s="1" t="str">
        <f>Capacity!$L$43</f>
        <v/>
      </c>
      <c r="I73" s="1" t="str">
        <f>Capacity!$M$43</f>
        <v/>
      </c>
      <c r="J73" s="1" t="str">
        <f>Capacity!$N$43</f>
        <v/>
      </c>
      <c r="K73" s="1">
        <f>Capacity!$O$43</f>
        <v>8840</v>
      </c>
      <c r="L73" s="1" t="s">
        <v>3</v>
      </c>
      <c r="M73" s="155">
        <f>Capacity!$S$43</f>
        <v>44.630769230769232</v>
      </c>
      <c r="N73" s="155">
        <f>Capacity!$T$43</f>
        <v>34</v>
      </c>
      <c r="O73" s="155">
        <f>Capacity!$U$43</f>
        <v>-10.630769230769232</v>
      </c>
    </row>
    <row r="74" spans="1:15" x14ac:dyDescent="0.35">
      <c r="A74" s="1" t="s">
        <v>32</v>
      </c>
      <c r="B74" s="1">
        <v>3</v>
      </c>
      <c r="C74" s="1" t="s">
        <v>42</v>
      </c>
      <c r="D74" s="1" t="s">
        <v>10</v>
      </c>
      <c r="E74" s="1">
        <f>Capacity!$I$43</f>
        <v>17</v>
      </c>
      <c r="F74" s="1">
        <f>Capacity!$J$43</f>
        <v>17</v>
      </c>
      <c r="G74" s="1">
        <f>Capacity!$K$43</f>
        <v>4</v>
      </c>
      <c r="H74" s="1" t="str">
        <f>Capacity!$L$43</f>
        <v/>
      </c>
      <c r="I74" s="1" t="str">
        <f>Capacity!$M$43</f>
        <v/>
      </c>
      <c r="J74" s="1" t="str">
        <f>Capacity!$N$43</f>
        <v/>
      </c>
      <c r="K74" s="1">
        <f>Capacity!$O$43</f>
        <v>8840</v>
      </c>
      <c r="L74" s="1" t="s">
        <v>3</v>
      </c>
      <c r="M74" s="155">
        <f>Capacity!$S$43</f>
        <v>44.630769230769232</v>
      </c>
      <c r="N74" s="155">
        <f>Capacity!$T$43</f>
        <v>34</v>
      </c>
      <c r="O74" s="155">
        <f>Capacity!$U$43</f>
        <v>-10.630769230769232</v>
      </c>
    </row>
    <row r="75" spans="1:15" x14ac:dyDescent="0.35">
      <c r="A75" s="1" t="s">
        <v>32</v>
      </c>
      <c r="B75" s="1">
        <v>3</v>
      </c>
      <c r="C75" s="1" t="s">
        <v>42</v>
      </c>
      <c r="D75" s="1" t="s">
        <v>11</v>
      </c>
      <c r="E75" s="1">
        <f>Capacity!$I$43</f>
        <v>17</v>
      </c>
      <c r="F75" s="1">
        <f>Capacity!$J$43</f>
        <v>17</v>
      </c>
      <c r="G75" s="1">
        <f>Capacity!$K$43</f>
        <v>4</v>
      </c>
      <c r="H75" s="1" t="str">
        <f>Capacity!$L$43</f>
        <v/>
      </c>
      <c r="I75" s="1" t="str">
        <f>Capacity!$M$43</f>
        <v/>
      </c>
      <c r="J75" s="1" t="str">
        <f>Capacity!$N$43</f>
        <v/>
      </c>
      <c r="K75" s="1">
        <f>Capacity!$O$43</f>
        <v>8840</v>
      </c>
      <c r="L75" s="1" t="s">
        <v>3</v>
      </c>
      <c r="M75" s="155">
        <f>Capacity!$S$43</f>
        <v>44.630769230769232</v>
      </c>
      <c r="N75" s="155">
        <f>Capacity!$T$43</f>
        <v>34</v>
      </c>
      <c r="O75" s="155">
        <f>Capacity!$U$43</f>
        <v>-10.630769230769232</v>
      </c>
    </row>
    <row r="76" spans="1:15" x14ac:dyDescent="0.35">
      <c r="A76" s="1" t="s">
        <v>32</v>
      </c>
      <c r="B76" s="1">
        <v>3</v>
      </c>
      <c r="C76" s="1" t="s">
        <v>42</v>
      </c>
      <c r="D76" s="1" t="s">
        <v>12</v>
      </c>
      <c r="E76" s="1">
        <f>Capacity!$I$43</f>
        <v>17</v>
      </c>
      <c r="F76" s="1">
        <f>Capacity!$J$43</f>
        <v>17</v>
      </c>
      <c r="G76" s="1">
        <f>Capacity!$K$43</f>
        <v>4</v>
      </c>
      <c r="H76" s="1" t="str">
        <f>Capacity!$L$43</f>
        <v/>
      </c>
      <c r="I76" s="1" t="str">
        <f>Capacity!$M$43</f>
        <v/>
      </c>
      <c r="J76" s="1" t="str">
        <f>Capacity!$N$43</f>
        <v/>
      </c>
      <c r="K76" s="1">
        <f>Capacity!$O$43</f>
        <v>8840</v>
      </c>
      <c r="L76" s="1" t="s">
        <v>3</v>
      </c>
      <c r="M76" s="155">
        <f>Capacity!$S$43</f>
        <v>44.630769230769232</v>
      </c>
      <c r="N76" s="155">
        <f>Capacity!$T$43</f>
        <v>34</v>
      </c>
      <c r="O76" s="155">
        <f>Capacity!$U$43</f>
        <v>-10.630769230769232</v>
      </c>
    </row>
    <row r="77" spans="1:15" x14ac:dyDescent="0.35">
      <c r="A77" s="1" t="s">
        <v>32</v>
      </c>
      <c r="B77" s="1">
        <v>3</v>
      </c>
      <c r="C77" s="1" t="s">
        <v>42</v>
      </c>
      <c r="D77" s="1" t="s">
        <v>8</v>
      </c>
      <c r="E77" s="1">
        <f>Capacity!$I$43</f>
        <v>17</v>
      </c>
      <c r="F77" s="1">
        <f>Capacity!$J$43</f>
        <v>17</v>
      </c>
      <c r="G77" s="1">
        <f>Capacity!$K$43</f>
        <v>4</v>
      </c>
      <c r="H77" s="1" t="str">
        <f>Capacity!$L$43</f>
        <v/>
      </c>
      <c r="I77" s="1" t="str">
        <f>Capacity!$M$43</f>
        <v/>
      </c>
      <c r="J77" s="1" t="str">
        <f>Capacity!$N$43</f>
        <v/>
      </c>
      <c r="K77" s="1">
        <f>Capacity!$O$43</f>
        <v>8840</v>
      </c>
      <c r="L77" s="1" t="s">
        <v>4</v>
      </c>
      <c r="M77" s="155">
        <f>Capacity!$V$43</f>
        <v>22.315384615384616</v>
      </c>
      <c r="N77" s="155">
        <f>Capacity!$W$43</f>
        <v>17</v>
      </c>
      <c r="O77" s="155">
        <f>Capacity!$X$43</f>
        <v>-5.315384615384616</v>
      </c>
    </row>
    <row r="78" spans="1:15" x14ac:dyDescent="0.35">
      <c r="A78" s="1" t="s">
        <v>32</v>
      </c>
      <c r="B78" s="1">
        <v>3</v>
      </c>
      <c r="C78" s="1" t="s">
        <v>42</v>
      </c>
      <c r="D78" s="1" t="s">
        <v>55</v>
      </c>
      <c r="E78" s="1">
        <f>Capacity!$I$43</f>
        <v>17</v>
      </c>
      <c r="F78" s="1">
        <f>Capacity!$J$43</f>
        <v>17</v>
      </c>
      <c r="G78" s="1">
        <f>Capacity!$K$43</f>
        <v>4</v>
      </c>
      <c r="H78" s="1" t="str">
        <f>Capacity!$L$43</f>
        <v/>
      </c>
      <c r="I78" s="1" t="str">
        <f>Capacity!$M$43</f>
        <v/>
      </c>
      <c r="J78" s="1" t="str">
        <f>Capacity!$N$43</f>
        <v/>
      </c>
      <c r="K78" s="1">
        <f>Capacity!$O$43</f>
        <v>8840</v>
      </c>
      <c r="L78" s="1" t="s">
        <v>4</v>
      </c>
      <c r="M78" s="155">
        <f>Capacity!$V$43</f>
        <v>22.315384615384616</v>
      </c>
      <c r="N78" s="155">
        <f>Capacity!$W$43</f>
        <v>17</v>
      </c>
      <c r="O78" s="155">
        <f>Capacity!$X$43</f>
        <v>-5.315384615384616</v>
      </c>
    </row>
    <row r="79" spans="1:15" x14ac:dyDescent="0.35">
      <c r="A79" s="1" t="s">
        <v>32</v>
      </c>
      <c r="B79" s="1">
        <v>3</v>
      </c>
      <c r="C79" s="1" t="s">
        <v>42</v>
      </c>
      <c r="D79" s="1" t="s">
        <v>10</v>
      </c>
      <c r="E79" s="1">
        <f>Capacity!$I$43</f>
        <v>17</v>
      </c>
      <c r="F79" s="1">
        <f>Capacity!$J$43</f>
        <v>17</v>
      </c>
      <c r="G79" s="1">
        <f>Capacity!$K$43</f>
        <v>4</v>
      </c>
      <c r="H79" s="1" t="str">
        <f>Capacity!$L$43</f>
        <v/>
      </c>
      <c r="I79" s="1" t="str">
        <f>Capacity!$M$43</f>
        <v/>
      </c>
      <c r="J79" s="1" t="str">
        <f>Capacity!$N$43</f>
        <v/>
      </c>
      <c r="K79" s="1">
        <f>Capacity!$O$43</f>
        <v>8840</v>
      </c>
      <c r="L79" s="1" t="s">
        <v>4</v>
      </c>
      <c r="M79" s="155">
        <f>Capacity!$V$43</f>
        <v>22.315384615384616</v>
      </c>
      <c r="N79" s="155">
        <f>Capacity!$W$43</f>
        <v>17</v>
      </c>
      <c r="O79" s="155">
        <f>Capacity!$X$43</f>
        <v>-5.315384615384616</v>
      </c>
    </row>
    <row r="80" spans="1:15" x14ac:dyDescent="0.35">
      <c r="A80" s="1" t="s">
        <v>32</v>
      </c>
      <c r="B80" s="1">
        <v>3</v>
      </c>
      <c r="C80" s="1" t="s">
        <v>42</v>
      </c>
      <c r="D80" s="1" t="s">
        <v>11</v>
      </c>
      <c r="E80" s="1">
        <f>Capacity!$I$43</f>
        <v>17</v>
      </c>
      <c r="F80" s="1">
        <f>Capacity!$J$43</f>
        <v>17</v>
      </c>
      <c r="G80" s="1">
        <f>Capacity!$K$43</f>
        <v>4</v>
      </c>
      <c r="H80" s="1" t="str">
        <f>Capacity!$L$43</f>
        <v/>
      </c>
      <c r="I80" s="1" t="str">
        <f>Capacity!$M$43</f>
        <v/>
      </c>
      <c r="J80" s="1" t="str">
        <f>Capacity!$N$43</f>
        <v/>
      </c>
      <c r="K80" s="1">
        <f>Capacity!$O$43</f>
        <v>8840</v>
      </c>
      <c r="L80" s="1" t="s">
        <v>4</v>
      </c>
      <c r="M80" s="155">
        <f>Capacity!$V$43</f>
        <v>22.315384615384616</v>
      </c>
      <c r="N80" s="155">
        <f>Capacity!$W$43</f>
        <v>17</v>
      </c>
      <c r="O80" s="155">
        <f>Capacity!$X$43</f>
        <v>-5.315384615384616</v>
      </c>
    </row>
    <row r="81" spans="1:15" x14ac:dyDescent="0.35">
      <c r="A81" s="1" t="s">
        <v>32</v>
      </c>
      <c r="B81" s="1">
        <v>3</v>
      </c>
      <c r="C81" s="1" t="s">
        <v>42</v>
      </c>
      <c r="D81" s="1" t="s">
        <v>12</v>
      </c>
      <c r="E81" s="1">
        <f>Capacity!$I$43</f>
        <v>17</v>
      </c>
      <c r="F81" s="1">
        <f>Capacity!$J$43</f>
        <v>17</v>
      </c>
      <c r="G81" s="1">
        <f>Capacity!$K$43</f>
        <v>4</v>
      </c>
      <c r="H81" s="1" t="str">
        <f>Capacity!$L$43</f>
        <v/>
      </c>
      <c r="I81" s="1" t="str">
        <f>Capacity!$M$43</f>
        <v/>
      </c>
      <c r="J81" s="1" t="str">
        <f>Capacity!$N$43</f>
        <v/>
      </c>
      <c r="K81" s="1">
        <f>Capacity!$O$43</f>
        <v>8840</v>
      </c>
      <c r="L81" s="1" t="s">
        <v>4</v>
      </c>
      <c r="M81" s="155">
        <f>Capacity!$V$43</f>
        <v>22.315384615384616</v>
      </c>
      <c r="N81" s="155">
        <f>Capacity!$W$43</f>
        <v>17</v>
      </c>
      <c r="O81" s="155">
        <f>Capacity!$X$43</f>
        <v>-5.315384615384616</v>
      </c>
    </row>
    <row r="82" spans="1:15" x14ac:dyDescent="0.35">
      <c r="A82" s="1" t="s">
        <v>32</v>
      </c>
      <c r="B82" s="1">
        <v>3</v>
      </c>
      <c r="C82" s="1" t="s">
        <v>42</v>
      </c>
      <c r="D82" s="1" t="s">
        <v>8</v>
      </c>
      <c r="E82" s="1">
        <f>Capacity!$I$43</f>
        <v>17</v>
      </c>
      <c r="F82" s="1">
        <f>Capacity!$J$43</f>
        <v>17</v>
      </c>
      <c r="G82" s="1">
        <f>Capacity!$K$43</f>
        <v>4</v>
      </c>
      <c r="H82" s="1" t="str">
        <f>Capacity!$L$43</f>
        <v/>
      </c>
      <c r="I82" s="1" t="str">
        <f>Capacity!$M$43</f>
        <v/>
      </c>
      <c r="J82" s="1" t="str">
        <f>Capacity!$N$43</f>
        <v/>
      </c>
      <c r="K82" s="1">
        <f>Capacity!$O$43</f>
        <v>8840</v>
      </c>
      <c r="L82" s="1" t="s">
        <v>56</v>
      </c>
      <c r="M82" s="155">
        <f>Capacity!$Y$43</f>
        <v>987.57446808510633</v>
      </c>
      <c r="N82" s="155">
        <f>Capacity!$Z$43</f>
        <v>752.34042553191489</v>
      </c>
      <c r="O82" s="155">
        <f>Capacity!$AA$43</f>
        <v>-235.23404255319144</v>
      </c>
    </row>
    <row r="83" spans="1:15" x14ac:dyDescent="0.35">
      <c r="A83" s="1" t="s">
        <v>32</v>
      </c>
      <c r="B83" s="1">
        <v>3</v>
      </c>
      <c r="C83" s="1" t="s">
        <v>42</v>
      </c>
      <c r="D83" s="1" t="s">
        <v>55</v>
      </c>
      <c r="E83" s="1">
        <f>Capacity!$I$43</f>
        <v>17</v>
      </c>
      <c r="F83" s="1">
        <f>Capacity!$J$43</f>
        <v>17</v>
      </c>
      <c r="G83" s="1">
        <f>Capacity!$K$43</f>
        <v>4</v>
      </c>
      <c r="H83" s="1" t="str">
        <f>Capacity!$L$43</f>
        <v/>
      </c>
      <c r="I83" s="1" t="str">
        <f>Capacity!$M$43</f>
        <v/>
      </c>
      <c r="J83" s="1" t="str">
        <f>Capacity!$N$43</f>
        <v/>
      </c>
      <c r="K83" s="1">
        <f>Capacity!$O$43</f>
        <v>8840</v>
      </c>
      <c r="L83" s="1" t="s">
        <v>56</v>
      </c>
      <c r="M83" s="155">
        <f>Capacity!$Y$43</f>
        <v>987.57446808510633</v>
      </c>
      <c r="N83" s="155">
        <f>Capacity!$Z$43</f>
        <v>752.34042553191489</v>
      </c>
      <c r="O83" s="155">
        <f>Capacity!$AA$43</f>
        <v>-235.23404255319144</v>
      </c>
    </row>
    <row r="84" spans="1:15" x14ac:dyDescent="0.35">
      <c r="A84" s="1" t="s">
        <v>32</v>
      </c>
      <c r="B84" s="1">
        <v>3</v>
      </c>
      <c r="C84" s="1" t="s">
        <v>42</v>
      </c>
      <c r="D84" s="1" t="s">
        <v>10</v>
      </c>
      <c r="E84" s="1">
        <f>Capacity!$I$43</f>
        <v>17</v>
      </c>
      <c r="F84" s="1">
        <f>Capacity!$J$43</f>
        <v>17</v>
      </c>
      <c r="G84" s="1">
        <f>Capacity!$K$43</f>
        <v>4</v>
      </c>
      <c r="H84" s="1" t="str">
        <f>Capacity!$L$43</f>
        <v/>
      </c>
      <c r="I84" s="1" t="str">
        <f>Capacity!$M$43</f>
        <v/>
      </c>
      <c r="J84" s="1" t="str">
        <f>Capacity!$N$43</f>
        <v/>
      </c>
      <c r="K84" s="1">
        <f>Capacity!$O$43</f>
        <v>8840</v>
      </c>
      <c r="L84" s="1" t="s">
        <v>56</v>
      </c>
      <c r="M84" s="155">
        <f>Capacity!$Y$43</f>
        <v>987.57446808510633</v>
      </c>
      <c r="N84" s="155">
        <f>Capacity!$Z$43</f>
        <v>752.34042553191489</v>
      </c>
      <c r="O84" s="155">
        <f>Capacity!$AA$43</f>
        <v>-235.23404255319144</v>
      </c>
    </row>
    <row r="85" spans="1:15" x14ac:dyDescent="0.35">
      <c r="A85" s="1" t="s">
        <v>32</v>
      </c>
      <c r="B85" s="1">
        <v>3</v>
      </c>
      <c r="C85" s="1" t="s">
        <v>42</v>
      </c>
      <c r="D85" s="1" t="s">
        <v>11</v>
      </c>
      <c r="E85" s="1">
        <f>Capacity!$I$43</f>
        <v>17</v>
      </c>
      <c r="F85" s="1">
        <f>Capacity!$J$43</f>
        <v>17</v>
      </c>
      <c r="G85" s="1">
        <f>Capacity!$K$43</f>
        <v>4</v>
      </c>
      <c r="H85" s="1" t="str">
        <f>Capacity!$L$43</f>
        <v/>
      </c>
      <c r="I85" s="1" t="str">
        <f>Capacity!$M$43</f>
        <v/>
      </c>
      <c r="J85" s="1" t="str">
        <f>Capacity!$N$43</f>
        <v/>
      </c>
      <c r="K85" s="1">
        <f>Capacity!$O$43</f>
        <v>8840</v>
      </c>
      <c r="L85" s="1" t="s">
        <v>56</v>
      </c>
      <c r="M85" s="155">
        <f>Capacity!$Y$43</f>
        <v>987.57446808510633</v>
      </c>
      <c r="N85" s="155">
        <f>Capacity!$Z$43</f>
        <v>752.34042553191489</v>
      </c>
      <c r="O85" s="155">
        <f>Capacity!$AA$43</f>
        <v>-235.23404255319144</v>
      </c>
    </row>
    <row r="86" spans="1:15" x14ac:dyDescent="0.35">
      <c r="A86" s="1" t="s">
        <v>32</v>
      </c>
      <c r="B86" s="1">
        <v>3</v>
      </c>
      <c r="C86" s="1" t="s">
        <v>42</v>
      </c>
      <c r="D86" s="1" t="s">
        <v>12</v>
      </c>
      <c r="E86" s="1">
        <f>Capacity!$I$43</f>
        <v>17</v>
      </c>
      <c r="F86" s="1">
        <f>Capacity!$J$43</f>
        <v>17</v>
      </c>
      <c r="G86" s="1">
        <f>Capacity!$K$43</f>
        <v>4</v>
      </c>
      <c r="H86" s="1" t="str">
        <f>Capacity!$L$43</f>
        <v/>
      </c>
      <c r="I86" s="1" t="str">
        <f>Capacity!$M$43</f>
        <v/>
      </c>
      <c r="J86" s="1" t="str">
        <f>Capacity!$N$43</f>
        <v/>
      </c>
      <c r="K86" s="1">
        <f>Capacity!$O$43</f>
        <v>8840</v>
      </c>
      <c r="L86" s="1" t="s">
        <v>56</v>
      </c>
      <c r="M86" s="155">
        <f>Capacity!$Y$43</f>
        <v>987.57446808510633</v>
      </c>
      <c r="N86" s="155">
        <f>Capacity!$Z$43</f>
        <v>752.34042553191489</v>
      </c>
      <c r="O86" s="155">
        <f>Capacity!$AA$43</f>
        <v>-235.23404255319144</v>
      </c>
    </row>
    <row r="87" spans="1:15" x14ac:dyDescent="0.35">
      <c r="A87" s="1" t="s">
        <v>33</v>
      </c>
      <c r="B87" s="1">
        <v>4</v>
      </c>
      <c r="C87" s="1" t="s">
        <v>42</v>
      </c>
      <c r="D87" s="1" t="s">
        <v>8</v>
      </c>
      <c r="E87" s="1">
        <f>Capacity!$E$44</f>
        <v>16</v>
      </c>
      <c r="F87" s="1">
        <f>Capacity!$J$44</f>
        <v>20</v>
      </c>
      <c r="G87" s="1">
        <f>Capacity!$K$44</f>
        <v>4</v>
      </c>
      <c r="H87" s="1" t="str">
        <f>Capacity!$L$44</f>
        <v/>
      </c>
      <c r="I87" s="1" t="str">
        <f>Capacity!$M$44</f>
        <v/>
      </c>
      <c r="J87" s="1" t="str">
        <f>Capacity!$N$44</f>
        <v/>
      </c>
      <c r="K87" s="1">
        <f>Capacity!$O$44</f>
        <v>10400</v>
      </c>
      <c r="L87" s="1" t="s">
        <v>2</v>
      </c>
      <c r="M87" s="1">
        <f>Capacity!$P$44</f>
        <v>12630</v>
      </c>
      <c r="N87" s="1">
        <f>Capacity!$Q$44</f>
        <v>10400</v>
      </c>
      <c r="O87" s="1">
        <f>Capacity!$R$44</f>
        <v>-2230</v>
      </c>
    </row>
    <row r="88" spans="1:15" x14ac:dyDescent="0.35">
      <c r="A88" s="1" t="s">
        <v>33</v>
      </c>
      <c r="B88" s="1">
        <v>4</v>
      </c>
      <c r="C88" s="1" t="s">
        <v>42</v>
      </c>
      <c r="D88" s="1" t="s">
        <v>55</v>
      </c>
      <c r="E88" s="1">
        <f>Capacity!$F$44</f>
        <v>16</v>
      </c>
      <c r="F88" s="1">
        <f>Capacity!$J$44</f>
        <v>20</v>
      </c>
      <c r="G88" s="1">
        <f>Capacity!$K$44</f>
        <v>4</v>
      </c>
      <c r="H88" s="1" t="str">
        <f>Capacity!$L$44</f>
        <v/>
      </c>
      <c r="I88" s="1" t="str">
        <f>Capacity!$M$44</f>
        <v/>
      </c>
      <c r="J88" s="1" t="str">
        <f>Capacity!$N$44</f>
        <v/>
      </c>
      <c r="K88" s="1">
        <f>Capacity!$O$44</f>
        <v>10400</v>
      </c>
      <c r="L88" s="1" t="s">
        <v>2</v>
      </c>
      <c r="M88" s="1">
        <f>Capacity!$P$44</f>
        <v>12630</v>
      </c>
      <c r="N88" s="1">
        <f>Capacity!$Q$44</f>
        <v>10400</v>
      </c>
      <c r="O88" s="1">
        <f>Capacity!$R$44</f>
        <v>-2230</v>
      </c>
    </row>
    <row r="89" spans="1:15" x14ac:dyDescent="0.35">
      <c r="A89" s="1" t="s">
        <v>33</v>
      </c>
      <c r="B89" s="1">
        <v>4</v>
      </c>
      <c r="C89" s="1" t="s">
        <v>42</v>
      </c>
      <c r="D89" s="1" t="s">
        <v>10</v>
      </c>
      <c r="E89" s="1">
        <f>Capacity!$G$44</f>
        <v>20</v>
      </c>
      <c r="F89" s="1">
        <f>Capacity!$J$44</f>
        <v>20</v>
      </c>
      <c r="G89" s="1">
        <f>Capacity!$K$44</f>
        <v>4</v>
      </c>
      <c r="H89" s="1" t="str">
        <f>Capacity!$L$44</f>
        <v/>
      </c>
      <c r="I89" s="1" t="str">
        <f>Capacity!$M$44</f>
        <v/>
      </c>
      <c r="J89" s="1" t="str">
        <f>Capacity!$N$44</f>
        <v/>
      </c>
      <c r="K89" s="1">
        <f>Capacity!$O$44</f>
        <v>10400</v>
      </c>
      <c r="L89" s="1" t="s">
        <v>2</v>
      </c>
      <c r="M89" s="1">
        <f>Capacity!$P$44</f>
        <v>12630</v>
      </c>
      <c r="N89" s="1">
        <f>Capacity!$Q$44</f>
        <v>10400</v>
      </c>
      <c r="O89" s="1">
        <f>Capacity!$R$44</f>
        <v>-2230</v>
      </c>
    </row>
    <row r="90" spans="1:15" x14ac:dyDescent="0.35">
      <c r="A90" s="1" t="s">
        <v>33</v>
      </c>
      <c r="B90" s="1">
        <v>4</v>
      </c>
      <c r="C90" s="1" t="s">
        <v>42</v>
      </c>
      <c r="D90" s="1" t="s">
        <v>11</v>
      </c>
      <c r="E90" s="1">
        <f>Capacity!$H$44</f>
        <v>20</v>
      </c>
      <c r="F90" s="1">
        <f>Capacity!$J$44</f>
        <v>20</v>
      </c>
      <c r="G90" s="1">
        <f>Capacity!$K$44</f>
        <v>4</v>
      </c>
      <c r="H90" s="1" t="str">
        <f>Capacity!$L$44</f>
        <v/>
      </c>
      <c r="I90" s="1" t="str">
        <f>Capacity!$M$44</f>
        <v/>
      </c>
      <c r="J90" s="1" t="str">
        <f>Capacity!$N$44</f>
        <v/>
      </c>
      <c r="K90" s="1">
        <f>Capacity!$O$44</f>
        <v>10400</v>
      </c>
      <c r="L90" s="1" t="s">
        <v>2</v>
      </c>
      <c r="M90" s="1">
        <f>Capacity!$P$44</f>
        <v>12630</v>
      </c>
      <c r="N90" s="1">
        <f>Capacity!$Q$44</f>
        <v>10400</v>
      </c>
      <c r="O90" s="1">
        <f>Capacity!$R$44</f>
        <v>-2230</v>
      </c>
    </row>
    <row r="91" spans="1:15" x14ac:dyDescent="0.35">
      <c r="A91" s="1" t="s">
        <v>33</v>
      </c>
      <c r="B91" s="1">
        <v>4</v>
      </c>
      <c r="C91" s="1" t="s">
        <v>42</v>
      </c>
      <c r="D91" s="1" t="s">
        <v>12</v>
      </c>
      <c r="E91" s="1">
        <f>Capacity!$I$44</f>
        <v>20</v>
      </c>
      <c r="F91" s="1">
        <f>Capacity!$J$44</f>
        <v>20</v>
      </c>
      <c r="G91" s="1">
        <f>Capacity!$K$44</f>
        <v>4</v>
      </c>
      <c r="H91" s="1" t="str">
        <f>Capacity!$L$44</f>
        <v/>
      </c>
      <c r="I91" s="1" t="str">
        <f>Capacity!$M$44</f>
        <v/>
      </c>
      <c r="J91" s="1" t="str">
        <f>Capacity!$N$44</f>
        <v/>
      </c>
      <c r="K91" s="1">
        <f>Capacity!$O$44</f>
        <v>10400</v>
      </c>
      <c r="L91" s="1" t="s">
        <v>2</v>
      </c>
      <c r="M91" s="1">
        <f>Capacity!$P$44</f>
        <v>12630</v>
      </c>
      <c r="N91" s="1">
        <f>Capacity!$Q$44</f>
        <v>10400</v>
      </c>
      <c r="O91" s="1">
        <f>Capacity!$R$44</f>
        <v>-2230</v>
      </c>
    </row>
    <row r="92" spans="1:15" x14ac:dyDescent="0.35">
      <c r="A92" s="1" t="s">
        <v>33</v>
      </c>
      <c r="B92" s="1">
        <v>4</v>
      </c>
      <c r="C92" s="1" t="s">
        <v>42</v>
      </c>
      <c r="D92" s="1" t="s">
        <v>8</v>
      </c>
      <c r="E92" s="1">
        <f>Capacity!$E$44</f>
        <v>16</v>
      </c>
      <c r="F92" s="1">
        <f>Capacity!$J$44</f>
        <v>20</v>
      </c>
      <c r="G92" s="1">
        <f>Capacity!$K$44</f>
        <v>4</v>
      </c>
      <c r="H92" s="1" t="str">
        <f>Capacity!$L$44</f>
        <v/>
      </c>
      <c r="I92" s="1" t="str">
        <f>Capacity!$M$44</f>
        <v/>
      </c>
      <c r="J92" s="1" t="str">
        <f>Capacity!$N$44</f>
        <v/>
      </c>
      <c r="K92" s="1">
        <f>Capacity!$O$44</f>
        <v>10400</v>
      </c>
      <c r="L92" s="1" t="s">
        <v>3</v>
      </c>
      <c r="M92" s="155">
        <f>Capacity!$S$44</f>
        <v>48.57692307692308</v>
      </c>
      <c r="N92" s="155">
        <f>Capacity!$T$44</f>
        <v>40</v>
      </c>
      <c r="O92" s="155">
        <f>Capacity!$U$44</f>
        <v>-8.5769230769230802</v>
      </c>
    </row>
    <row r="93" spans="1:15" x14ac:dyDescent="0.35">
      <c r="A93" s="1" t="s">
        <v>33</v>
      </c>
      <c r="B93" s="1">
        <v>4</v>
      </c>
      <c r="C93" s="1" t="s">
        <v>42</v>
      </c>
      <c r="D93" s="1" t="s">
        <v>55</v>
      </c>
      <c r="E93" s="1">
        <f>Capacity!$F$44</f>
        <v>16</v>
      </c>
      <c r="F93" s="1">
        <f>Capacity!$J$44</f>
        <v>20</v>
      </c>
      <c r="G93" s="1">
        <f>Capacity!$K$44</f>
        <v>4</v>
      </c>
      <c r="H93" s="1" t="str">
        <f>Capacity!$L$44</f>
        <v/>
      </c>
      <c r="I93" s="1" t="str">
        <f>Capacity!$M$44</f>
        <v/>
      </c>
      <c r="J93" s="1" t="str">
        <f>Capacity!$N$44</f>
        <v/>
      </c>
      <c r="K93" s="1">
        <f>Capacity!$O$44</f>
        <v>10400</v>
      </c>
      <c r="L93" s="1" t="s">
        <v>3</v>
      </c>
      <c r="M93" s="155">
        <f>Capacity!$S$44</f>
        <v>48.57692307692308</v>
      </c>
      <c r="N93" s="155">
        <f>Capacity!$T$44</f>
        <v>40</v>
      </c>
      <c r="O93" s="155">
        <f>Capacity!$U$44</f>
        <v>-8.5769230769230802</v>
      </c>
    </row>
    <row r="94" spans="1:15" x14ac:dyDescent="0.35">
      <c r="A94" s="1" t="s">
        <v>33</v>
      </c>
      <c r="B94" s="1">
        <v>4</v>
      </c>
      <c r="C94" s="1" t="s">
        <v>42</v>
      </c>
      <c r="D94" s="1" t="s">
        <v>10</v>
      </c>
      <c r="E94" s="1">
        <f>Capacity!$G$44</f>
        <v>20</v>
      </c>
      <c r="F94" s="1">
        <f>Capacity!$J$44</f>
        <v>20</v>
      </c>
      <c r="G94" s="1">
        <f>Capacity!$K$44</f>
        <v>4</v>
      </c>
      <c r="H94" s="1" t="str">
        <f>Capacity!$L$44</f>
        <v/>
      </c>
      <c r="I94" s="1" t="str">
        <f>Capacity!$M$44</f>
        <v/>
      </c>
      <c r="J94" s="1" t="str">
        <f>Capacity!$N$44</f>
        <v/>
      </c>
      <c r="K94" s="1">
        <f>Capacity!$O$44</f>
        <v>10400</v>
      </c>
      <c r="L94" s="1" t="s">
        <v>3</v>
      </c>
      <c r="M94" s="155">
        <f>Capacity!$S$44</f>
        <v>48.57692307692308</v>
      </c>
      <c r="N94" s="155">
        <f>Capacity!$T$44</f>
        <v>40</v>
      </c>
      <c r="O94" s="155">
        <f>Capacity!$U$44</f>
        <v>-8.5769230769230802</v>
      </c>
    </row>
    <row r="95" spans="1:15" x14ac:dyDescent="0.35">
      <c r="A95" s="1" t="s">
        <v>33</v>
      </c>
      <c r="B95" s="1">
        <v>4</v>
      </c>
      <c r="C95" s="1" t="s">
        <v>42</v>
      </c>
      <c r="D95" s="1" t="s">
        <v>11</v>
      </c>
      <c r="E95" s="1">
        <f>Capacity!$H$44</f>
        <v>20</v>
      </c>
      <c r="F95" s="1">
        <f>Capacity!$J$44</f>
        <v>20</v>
      </c>
      <c r="G95" s="1">
        <f>Capacity!$K$44</f>
        <v>4</v>
      </c>
      <c r="H95" s="1" t="str">
        <f>Capacity!$L$44</f>
        <v/>
      </c>
      <c r="I95" s="1" t="str">
        <f>Capacity!$M$44</f>
        <v/>
      </c>
      <c r="J95" s="1" t="str">
        <f>Capacity!$N$44</f>
        <v/>
      </c>
      <c r="K95" s="1">
        <f>Capacity!$O$44</f>
        <v>10400</v>
      </c>
      <c r="L95" s="1" t="s">
        <v>3</v>
      </c>
      <c r="M95" s="155">
        <f>Capacity!$S$44</f>
        <v>48.57692307692308</v>
      </c>
      <c r="N95" s="155">
        <f>Capacity!$T$44</f>
        <v>40</v>
      </c>
      <c r="O95" s="155">
        <f>Capacity!$U$44</f>
        <v>-8.5769230769230802</v>
      </c>
    </row>
    <row r="96" spans="1:15" x14ac:dyDescent="0.35">
      <c r="A96" s="1" t="s">
        <v>33</v>
      </c>
      <c r="B96" s="1">
        <v>4</v>
      </c>
      <c r="C96" s="1" t="s">
        <v>42</v>
      </c>
      <c r="D96" s="1" t="s">
        <v>12</v>
      </c>
      <c r="E96" s="1">
        <f>Capacity!$I$44</f>
        <v>20</v>
      </c>
      <c r="F96" s="1">
        <f>Capacity!$J$44</f>
        <v>20</v>
      </c>
      <c r="G96" s="1">
        <f>Capacity!$K$44</f>
        <v>4</v>
      </c>
      <c r="H96" s="1" t="str">
        <f>Capacity!$L$44</f>
        <v/>
      </c>
      <c r="I96" s="1" t="str">
        <f>Capacity!$M$44</f>
        <v/>
      </c>
      <c r="J96" s="1" t="str">
        <f>Capacity!$N$44</f>
        <v/>
      </c>
      <c r="K96" s="1">
        <f>Capacity!$O$44</f>
        <v>10400</v>
      </c>
      <c r="L96" s="1" t="s">
        <v>3</v>
      </c>
      <c r="M96" s="155">
        <f>Capacity!$S$44</f>
        <v>48.57692307692308</v>
      </c>
      <c r="N96" s="155">
        <f>Capacity!$T$44</f>
        <v>40</v>
      </c>
      <c r="O96" s="155">
        <f>Capacity!$U$44</f>
        <v>-8.5769230769230802</v>
      </c>
    </row>
    <row r="97" spans="1:15" x14ac:dyDescent="0.35">
      <c r="A97" s="1" t="s">
        <v>33</v>
      </c>
      <c r="B97" s="1">
        <v>4</v>
      </c>
      <c r="C97" s="1" t="s">
        <v>42</v>
      </c>
      <c r="D97" s="1" t="s">
        <v>8</v>
      </c>
      <c r="E97" s="1">
        <f>Capacity!$E$44</f>
        <v>16</v>
      </c>
      <c r="F97" s="1">
        <f>Capacity!$J$44</f>
        <v>20</v>
      </c>
      <c r="G97" s="1">
        <f>Capacity!$K$44</f>
        <v>4</v>
      </c>
      <c r="H97" s="1" t="str">
        <f>Capacity!$L$44</f>
        <v/>
      </c>
      <c r="I97" s="1" t="str">
        <f>Capacity!$M$44</f>
        <v/>
      </c>
      <c r="J97" s="1" t="str">
        <f>Capacity!$N$44</f>
        <v/>
      </c>
      <c r="K97" s="1">
        <f>Capacity!$O$44</f>
        <v>10400</v>
      </c>
      <c r="L97" s="1" t="s">
        <v>4</v>
      </c>
      <c r="M97" s="152">
        <f>Capacity!$V$44</f>
        <v>24.28846153846154</v>
      </c>
      <c r="N97" s="152">
        <f>Capacity!$W$44</f>
        <v>20</v>
      </c>
      <c r="O97" s="152">
        <f>Capacity!$X$44</f>
        <v>-4.2884615384615401</v>
      </c>
    </row>
    <row r="98" spans="1:15" x14ac:dyDescent="0.35">
      <c r="A98" s="1" t="s">
        <v>33</v>
      </c>
      <c r="B98" s="1">
        <v>4</v>
      </c>
      <c r="C98" s="1" t="s">
        <v>42</v>
      </c>
      <c r="D98" s="1" t="s">
        <v>55</v>
      </c>
      <c r="E98" s="1">
        <f>Capacity!$F$44</f>
        <v>16</v>
      </c>
      <c r="F98" s="1">
        <f>Capacity!$J$44</f>
        <v>20</v>
      </c>
      <c r="G98" s="1">
        <f>Capacity!$K$44</f>
        <v>4</v>
      </c>
      <c r="H98" s="1" t="str">
        <f>Capacity!$L$44</f>
        <v/>
      </c>
      <c r="I98" s="1" t="str">
        <f>Capacity!$M$44</f>
        <v/>
      </c>
      <c r="J98" s="1" t="str">
        <f>Capacity!$N$44</f>
        <v/>
      </c>
      <c r="K98" s="1">
        <f>Capacity!$O$44</f>
        <v>10400</v>
      </c>
      <c r="L98" s="1" t="s">
        <v>4</v>
      </c>
      <c r="M98" s="152">
        <f>Capacity!$V$44</f>
        <v>24.28846153846154</v>
      </c>
      <c r="N98" s="152">
        <f>Capacity!$W$44</f>
        <v>20</v>
      </c>
      <c r="O98" s="152">
        <f>Capacity!$X$44</f>
        <v>-4.2884615384615401</v>
      </c>
    </row>
    <row r="99" spans="1:15" x14ac:dyDescent="0.35">
      <c r="A99" s="1" t="s">
        <v>33</v>
      </c>
      <c r="B99" s="1">
        <v>4</v>
      </c>
      <c r="C99" s="1" t="s">
        <v>42</v>
      </c>
      <c r="D99" s="1" t="s">
        <v>10</v>
      </c>
      <c r="E99" s="1">
        <f>Capacity!$G$44</f>
        <v>20</v>
      </c>
      <c r="F99" s="1">
        <f>Capacity!$J$44</f>
        <v>20</v>
      </c>
      <c r="G99" s="1">
        <f>Capacity!$K$44</f>
        <v>4</v>
      </c>
      <c r="H99" s="1" t="str">
        <f>Capacity!$L$44</f>
        <v/>
      </c>
      <c r="I99" s="1" t="str">
        <f>Capacity!$M$44</f>
        <v/>
      </c>
      <c r="J99" s="1" t="str">
        <f>Capacity!$N$44</f>
        <v/>
      </c>
      <c r="K99" s="1">
        <f>Capacity!$O$44</f>
        <v>10400</v>
      </c>
      <c r="L99" s="1" t="s">
        <v>4</v>
      </c>
      <c r="M99" s="152">
        <f>Capacity!$V$44</f>
        <v>24.28846153846154</v>
      </c>
      <c r="N99" s="152">
        <f>Capacity!$W$44</f>
        <v>20</v>
      </c>
      <c r="O99" s="152">
        <f>Capacity!$X$44</f>
        <v>-4.2884615384615401</v>
      </c>
    </row>
    <row r="100" spans="1:15" x14ac:dyDescent="0.35">
      <c r="A100" s="1" t="s">
        <v>33</v>
      </c>
      <c r="B100" s="1">
        <v>4</v>
      </c>
      <c r="C100" s="1" t="s">
        <v>42</v>
      </c>
      <c r="D100" s="1" t="s">
        <v>11</v>
      </c>
      <c r="E100" s="1">
        <f>Capacity!$H$44</f>
        <v>20</v>
      </c>
      <c r="F100" s="1">
        <f>Capacity!$J$44</f>
        <v>20</v>
      </c>
      <c r="G100" s="1">
        <f>Capacity!$K$44</f>
        <v>4</v>
      </c>
      <c r="H100" s="1" t="str">
        <f>Capacity!$L$44</f>
        <v/>
      </c>
      <c r="I100" s="1" t="str">
        <f>Capacity!$M$44</f>
        <v/>
      </c>
      <c r="J100" s="1" t="str">
        <f>Capacity!$N$44</f>
        <v/>
      </c>
      <c r="K100" s="1">
        <f>Capacity!$O$44</f>
        <v>10400</v>
      </c>
      <c r="L100" s="1" t="s">
        <v>4</v>
      </c>
      <c r="M100" s="152">
        <f>Capacity!$V$44</f>
        <v>24.28846153846154</v>
      </c>
      <c r="N100" s="152">
        <f>Capacity!$W$44</f>
        <v>20</v>
      </c>
      <c r="O100" s="152">
        <f>Capacity!$X$44</f>
        <v>-4.2884615384615401</v>
      </c>
    </row>
    <row r="101" spans="1:15" x14ac:dyDescent="0.35">
      <c r="A101" s="1" t="s">
        <v>33</v>
      </c>
      <c r="B101" s="1">
        <v>4</v>
      </c>
      <c r="C101" s="1" t="s">
        <v>42</v>
      </c>
      <c r="D101" s="1" t="s">
        <v>12</v>
      </c>
      <c r="E101" s="1">
        <f>Capacity!$I$44</f>
        <v>20</v>
      </c>
      <c r="F101" s="1">
        <f>Capacity!$J$44</f>
        <v>20</v>
      </c>
      <c r="G101" s="1">
        <f>Capacity!$K$44</f>
        <v>4</v>
      </c>
      <c r="H101" s="1" t="str">
        <f>Capacity!$L$44</f>
        <v/>
      </c>
      <c r="I101" s="1" t="str">
        <f>Capacity!$M$44</f>
        <v/>
      </c>
      <c r="J101" s="1" t="str">
        <f>Capacity!$N$44</f>
        <v/>
      </c>
      <c r="K101" s="1">
        <f>Capacity!$O$44</f>
        <v>10400</v>
      </c>
      <c r="L101" s="1" t="s">
        <v>4</v>
      </c>
      <c r="M101" s="152">
        <f>Capacity!$V$44</f>
        <v>24.28846153846154</v>
      </c>
      <c r="N101" s="152">
        <f>Capacity!$W$44</f>
        <v>20</v>
      </c>
      <c r="O101" s="152">
        <f>Capacity!$X$44</f>
        <v>-4.2884615384615401</v>
      </c>
    </row>
    <row r="102" spans="1:15" x14ac:dyDescent="0.35">
      <c r="A102" s="1" t="s">
        <v>33</v>
      </c>
      <c r="B102" s="1">
        <v>4</v>
      </c>
      <c r="C102" s="1" t="s">
        <v>42</v>
      </c>
      <c r="D102" s="1" t="s">
        <v>8</v>
      </c>
      <c r="E102" s="1">
        <f>Capacity!$E$44</f>
        <v>16</v>
      </c>
      <c r="F102" s="1">
        <f>Capacity!$J$44</f>
        <v>20</v>
      </c>
      <c r="G102" s="1">
        <f>Capacity!$K$44</f>
        <v>4</v>
      </c>
      <c r="H102" s="1" t="str">
        <f>Capacity!$L$44</f>
        <v/>
      </c>
      <c r="I102" s="1" t="str">
        <f>Capacity!$M$44</f>
        <v/>
      </c>
      <c r="J102" s="1" t="str">
        <f>Capacity!$N$44</f>
        <v/>
      </c>
      <c r="K102" s="1">
        <f>Capacity!$O$44</f>
        <v>10400</v>
      </c>
      <c r="L102" s="1" t="s">
        <v>56</v>
      </c>
      <c r="M102" s="155">
        <f>Capacity!$Y$44</f>
        <v>1074.8936170212767</v>
      </c>
      <c r="N102" s="155">
        <f>Capacity!$Z$44</f>
        <v>885.10638297872345</v>
      </c>
      <c r="O102" s="155">
        <f>Capacity!$AA$44</f>
        <v>-189.78723404255322</v>
      </c>
    </row>
    <row r="103" spans="1:15" x14ac:dyDescent="0.35">
      <c r="A103" s="1" t="s">
        <v>33</v>
      </c>
      <c r="B103" s="1">
        <v>4</v>
      </c>
      <c r="C103" s="1" t="s">
        <v>42</v>
      </c>
      <c r="D103" s="1" t="s">
        <v>55</v>
      </c>
      <c r="E103" s="1">
        <f>Capacity!$F$44</f>
        <v>16</v>
      </c>
      <c r="F103" s="1">
        <f>Capacity!$J$44</f>
        <v>20</v>
      </c>
      <c r="G103" s="1">
        <f>Capacity!$K$44</f>
        <v>4</v>
      </c>
      <c r="H103" s="1" t="str">
        <f>Capacity!$L$44</f>
        <v/>
      </c>
      <c r="I103" s="1" t="str">
        <f>Capacity!$M$44</f>
        <v/>
      </c>
      <c r="J103" s="1" t="str">
        <f>Capacity!$N$44</f>
        <v/>
      </c>
      <c r="K103" s="1">
        <f>Capacity!$O$44</f>
        <v>10400</v>
      </c>
      <c r="L103" s="1" t="s">
        <v>56</v>
      </c>
      <c r="M103" s="155">
        <f>Capacity!$Y$44</f>
        <v>1074.8936170212767</v>
      </c>
      <c r="N103" s="155">
        <f>Capacity!$Z$44</f>
        <v>885.10638297872345</v>
      </c>
      <c r="O103" s="155">
        <f>Capacity!$AA$44</f>
        <v>-189.78723404255322</v>
      </c>
    </row>
    <row r="104" spans="1:15" x14ac:dyDescent="0.35">
      <c r="A104" s="1" t="s">
        <v>33</v>
      </c>
      <c r="B104" s="1">
        <v>4</v>
      </c>
      <c r="C104" s="1" t="s">
        <v>42</v>
      </c>
      <c r="D104" s="1" t="s">
        <v>10</v>
      </c>
      <c r="E104" s="1">
        <f>Capacity!$G$44</f>
        <v>20</v>
      </c>
      <c r="F104" s="1">
        <f>Capacity!$J$44</f>
        <v>20</v>
      </c>
      <c r="G104" s="1">
        <f>Capacity!$K$44</f>
        <v>4</v>
      </c>
      <c r="H104" s="1" t="str">
        <f>Capacity!$L$44</f>
        <v/>
      </c>
      <c r="I104" s="1" t="str">
        <f>Capacity!$M$44</f>
        <v/>
      </c>
      <c r="J104" s="1" t="str">
        <f>Capacity!$N$44</f>
        <v/>
      </c>
      <c r="K104" s="1">
        <f>Capacity!$O$44</f>
        <v>10400</v>
      </c>
      <c r="L104" s="1" t="s">
        <v>56</v>
      </c>
      <c r="M104" s="155">
        <f>Capacity!$Y$44</f>
        <v>1074.8936170212767</v>
      </c>
      <c r="N104" s="155">
        <f>Capacity!$Z$44</f>
        <v>885.10638297872345</v>
      </c>
      <c r="O104" s="155">
        <f>Capacity!$AA$44</f>
        <v>-189.78723404255322</v>
      </c>
    </row>
    <row r="105" spans="1:15" x14ac:dyDescent="0.35">
      <c r="A105" s="1" t="s">
        <v>33</v>
      </c>
      <c r="B105" s="1">
        <v>4</v>
      </c>
      <c r="C105" s="1" t="s">
        <v>42</v>
      </c>
      <c r="D105" s="1" t="s">
        <v>11</v>
      </c>
      <c r="E105" s="1">
        <f>Capacity!$H$44</f>
        <v>20</v>
      </c>
      <c r="F105" s="1">
        <f>Capacity!$J$44</f>
        <v>20</v>
      </c>
      <c r="G105" s="1">
        <f>Capacity!$K$44</f>
        <v>4</v>
      </c>
      <c r="H105" s="1" t="str">
        <f>Capacity!$L$44</f>
        <v/>
      </c>
      <c r="I105" s="1" t="str">
        <f>Capacity!$M$44</f>
        <v/>
      </c>
      <c r="J105" s="1" t="str">
        <f>Capacity!$N$44</f>
        <v/>
      </c>
      <c r="K105" s="1">
        <f>Capacity!$O$44</f>
        <v>10400</v>
      </c>
      <c r="L105" s="1" t="s">
        <v>56</v>
      </c>
      <c r="M105" s="155">
        <f>Capacity!$Y$44</f>
        <v>1074.8936170212767</v>
      </c>
      <c r="N105" s="155">
        <f>Capacity!$Z$44</f>
        <v>885.10638297872345</v>
      </c>
      <c r="O105" s="155">
        <f>Capacity!$AA$44</f>
        <v>-189.78723404255322</v>
      </c>
    </row>
    <row r="106" spans="1:15" x14ac:dyDescent="0.35">
      <c r="A106" s="1" t="s">
        <v>33</v>
      </c>
      <c r="B106" s="1">
        <v>4</v>
      </c>
      <c r="C106" s="1" t="s">
        <v>42</v>
      </c>
      <c r="D106" s="1" t="s">
        <v>12</v>
      </c>
      <c r="E106" s="1">
        <f>Capacity!$I$44</f>
        <v>20</v>
      </c>
      <c r="F106" s="1">
        <f>Capacity!$J$44</f>
        <v>20</v>
      </c>
      <c r="G106" s="1">
        <f>Capacity!$K$44</f>
        <v>4</v>
      </c>
      <c r="H106" s="1" t="str">
        <f>Capacity!$L$44</f>
        <v/>
      </c>
      <c r="I106" s="1" t="str">
        <f>Capacity!$M$44</f>
        <v/>
      </c>
      <c r="J106" s="1" t="str">
        <f>Capacity!$N$44</f>
        <v/>
      </c>
      <c r="K106" s="1">
        <f>Capacity!$O$44</f>
        <v>10400</v>
      </c>
      <c r="L106" s="1" t="s">
        <v>56</v>
      </c>
      <c r="M106" s="155">
        <f>Capacity!$Y$44</f>
        <v>1074.8936170212767</v>
      </c>
      <c r="N106" s="155">
        <f>Capacity!$Z$44</f>
        <v>885.10638297872345</v>
      </c>
      <c r="O106" s="155">
        <f>Capacity!$AA$44</f>
        <v>-189.78723404255322</v>
      </c>
    </row>
    <row r="107" spans="1:15" x14ac:dyDescent="0.35">
      <c r="A107" s="1" t="s">
        <v>29</v>
      </c>
      <c r="B107" s="1">
        <v>1</v>
      </c>
      <c r="C107" s="1" t="s">
        <v>41</v>
      </c>
      <c r="D107" s="1" t="s">
        <v>8</v>
      </c>
      <c r="E107" s="1">
        <f>Capacity!$E$37</f>
        <v>0</v>
      </c>
      <c r="F107" s="1">
        <f>Capacity!$J$37</f>
        <v>4</v>
      </c>
      <c r="G107" s="1">
        <f>Capacity!$K$37</f>
        <v>4</v>
      </c>
      <c r="H107" s="1" t="str">
        <f>Capacity!$L$37</f>
        <v/>
      </c>
      <c r="I107" s="1" t="str">
        <f>Capacity!$M$37</f>
        <v/>
      </c>
      <c r="J107" s="1" t="str">
        <f>Capacity!$N$37</f>
        <v/>
      </c>
      <c r="K107" s="1">
        <f>Capacity!$O$37</f>
        <v>2080</v>
      </c>
      <c r="L107" s="1" t="s">
        <v>2</v>
      </c>
      <c r="M107" s="1">
        <f>Capacity!$P$37</f>
        <v>1872</v>
      </c>
      <c r="N107" s="1">
        <f>Capacity!$Q$37</f>
        <v>2080</v>
      </c>
      <c r="O107" s="1">
        <f>Capacity!$R$37</f>
        <v>208</v>
      </c>
    </row>
    <row r="108" spans="1:15" x14ac:dyDescent="0.35">
      <c r="A108" s="1" t="s">
        <v>29</v>
      </c>
      <c r="B108" s="1">
        <v>1</v>
      </c>
      <c r="C108" s="1" t="s">
        <v>41</v>
      </c>
      <c r="D108" s="1" t="s">
        <v>55</v>
      </c>
      <c r="E108" s="1">
        <f>Capacity!$F$37</f>
        <v>4</v>
      </c>
      <c r="F108" s="1">
        <f>Capacity!$J$37</f>
        <v>4</v>
      </c>
      <c r="G108" s="1">
        <f>Capacity!$K$37</f>
        <v>4</v>
      </c>
      <c r="H108" s="1" t="str">
        <f>Capacity!$L$37</f>
        <v/>
      </c>
      <c r="I108" s="1" t="str">
        <f>Capacity!$M$37</f>
        <v/>
      </c>
      <c r="J108" s="1" t="str">
        <f>Capacity!$N$37</f>
        <v/>
      </c>
      <c r="K108" s="1">
        <f>Capacity!$O$37</f>
        <v>2080</v>
      </c>
      <c r="L108" s="1" t="s">
        <v>2</v>
      </c>
      <c r="M108" s="1">
        <f>Capacity!$P$37</f>
        <v>1872</v>
      </c>
      <c r="N108" s="1">
        <f>Capacity!$Q$37</f>
        <v>2080</v>
      </c>
      <c r="O108" s="1">
        <f>Capacity!$R$37</f>
        <v>208</v>
      </c>
    </row>
    <row r="109" spans="1:15" x14ac:dyDescent="0.35">
      <c r="A109" s="1" t="s">
        <v>29</v>
      </c>
      <c r="B109" s="1">
        <v>1</v>
      </c>
      <c r="C109" s="1" t="s">
        <v>41</v>
      </c>
      <c r="D109" s="1" t="s">
        <v>10</v>
      </c>
      <c r="E109" s="1">
        <f>Capacity!$G$37</f>
        <v>4</v>
      </c>
      <c r="F109" s="1">
        <f>Capacity!$J$37</f>
        <v>4</v>
      </c>
      <c r="G109" s="1">
        <f>Capacity!$K$37</f>
        <v>4</v>
      </c>
      <c r="H109" s="1" t="str">
        <f>Capacity!$L$37</f>
        <v/>
      </c>
      <c r="I109" s="1" t="str">
        <f>Capacity!$M$37</f>
        <v/>
      </c>
      <c r="J109" s="1" t="str">
        <f>Capacity!$N$37</f>
        <v/>
      </c>
      <c r="K109" s="1">
        <f>Capacity!$O$37</f>
        <v>2080</v>
      </c>
      <c r="L109" s="1" t="s">
        <v>2</v>
      </c>
      <c r="M109" s="1">
        <f>Capacity!$P$37</f>
        <v>1872</v>
      </c>
      <c r="N109" s="1">
        <f>Capacity!$Q$37</f>
        <v>2080</v>
      </c>
      <c r="O109" s="1">
        <f>Capacity!$R$37</f>
        <v>208</v>
      </c>
    </row>
    <row r="110" spans="1:15" x14ac:dyDescent="0.35">
      <c r="A110" s="1" t="s">
        <v>29</v>
      </c>
      <c r="B110" s="1">
        <v>1</v>
      </c>
      <c r="C110" s="1" t="s">
        <v>41</v>
      </c>
      <c r="D110" s="1" t="s">
        <v>11</v>
      </c>
      <c r="E110" s="1">
        <f>Capacity!$H$37</f>
        <v>4</v>
      </c>
      <c r="F110" s="1">
        <f>Capacity!$J$37</f>
        <v>4</v>
      </c>
      <c r="G110" s="1">
        <f>Capacity!$K$37</f>
        <v>4</v>
      </c>
      <c r="H110" s="1" t="str">
        <f>Capacity!$L$37</f>
        <v/>
      </c>
      <c r="I110" s="1" t="str">
        <f>Capacity!$M$37</f>
        <v/>
      </c>
      <c r="J110" s="1" t="str">
        <f>Capacity!$N$37</f>
        <v/>
      </c>
      <c r="K110" s="1">
        <f>Capacity!$O$37</f>
        <v>2080</v>
      </c>
      <c r="L110" s="1" t="s">
        <v>2</v>
      </c>
      <c r="M110" s="1">
        <f>Capacity!$P$37</f>
        <v>1872</v>
      </c>
      <c r="N110" s="1">
        <f>Capacity!$Q$37</f>
        <v>2080</v>
      </c>
      <c r="O110" s="1">
        <f>Capacity!$R$37</f>
        <v>208</v>
      </c>
    </row>
    <row r="111" spans="1:15" x14ac:dyDescent="0.35">
      <c r="A111" s="1" t="s">
        <v>29</v>
      </c>
      <c r="B111" s="1">
        <v>1</v>
      </c>
      <c r="C111" s="1" t="s">
        <v>41</v>
      </c>
      <c r="D111" s="1" t="s">
        <v>12</v>
      </c>
      <c r="E111" s="1">
        <f>Capacity!$I$37</f>
        <v>4</v>
      </c>
      <c r="F111" s="1">
        <f>Capacity!$J$37</f>
        <v>4</v>
      </c>
      <c r="G111" s="1">
        <f>Capacity!$K$37</f>
        <v>4</v>
      </c>
      <c r="H111" s="1" t="str">
        <f>Capacity!$L$37</f>
        <v/>
      </c>
      <c r="I111" s="1" t="str">
        <f>Capacity!$M$37</f>
        <v/>
      </c>
      <c r="J111" s="1" t="str">
        <f>Capacity!$N$37</f>
        <v/>
      </c>
      <c r="K111" s="1">
        <f>Capacity!$O$37</f>
        <v>2080</v>
      </c>
      <c r="L111" s="1" t="s">
        <v>2</v>
      </c>
      <c r="M111" s="1">
        <f>Capacity!$P$37</f>
        <v>1872</v>
      </c>
      <c r="N111" s="1">
        <f>Capacity!$Q$37</f>
        <v>2080</v>
      </c>
      <c r="O111" s="1">
        <f>Capacity!$R$37</f>
        <v>208</v>
      </c>
    </row>
    <row r="112" spans="1:15" x14ac:dyDescent="0.35">
      <c r="A112" s="1" t="s">
        <v>29</v>
      </c>
      <c r="B112" s="1">
        <v>1</v>
      </c>
      <c r="C112" s="1" t="s">
        <v>41</v>
      </c>
      <c r="D112" s="1" t="s">
        <v>8</v>
      </c>
      <c r="E112" s="1">
        <f>Capacity!$E$37</f>
        <v>0</v>
      </c>
      <c r="F112" s="1">
        <f>Capacity!$J$37</f>
        <v>4</v>
      </c>
      <c r="G112" s="1">
        <f>Capacity!$K$37</f>
        <v>4</v>
      </c>
      <c r="H112" s="1" t="str">
        <f>Capacity!$L$37</f>
        <v/>
      </c>
      <c r="I112" s="1" t="str">
        <f>Capacity!$M$37</f>
        <v/>
      </c>
      <c r="J112" s="1" t="str">
        <f>Capacity!$N$37</f>
        <v/>
      </c>
      <c r="K112" s="1">
        <f>Capacity!$O$37</f>
        <v>2080</v>
      </c>
      <c r="L112" s="1" t="s">
        <v>3</v>
      </c>
      <c r="M112" s="155">
        <f>Capacity!$S$37</f>
        <v>7.2</v>
      </c>
      <c r="N112" s="155">
        <f>Capacity!$T$37</f>
        <v>8</v>
      </c>
      <c r="O112" s="155">
        <f>Capacity!$U$37</f>
        <v>0.79999999999999982</v>
      </c>
    </row>
    <row r="113" spans="1:15" x14ac:dyDescent="0.35">
      <c r="A113" s="1" t="s">
        <v>29</v>
      </c>
      <c r="B113" s="1">
        <v>1</v>
      </c>
      <c r="C113" s="1" t="s">
        <v>41</v>
      </c>
      <c r="D113" s="1" t="s">
        <v>55</v>
      </c>
      <c r="E113" s="1">
        <f>Capacity!$F$37</f>
        <v>4</v>
      </c>
      <c r="F113" s="1">
        <f>Capacity!$J$37</f>
        <v>4</v>
      </c>
      <c r="G113" s="1">
        <f>Capacity!$K$37</f>
        <v>4</v>
      </c>
      <c r="H113" s="1" t="str">
        <f>Capacity!$L$37</f>
        <v/>
      </c>
      <c r="I113" s="1" t="str">
        <f>Capacity!$M$37</f>
        <v/>
      </c>
      <c r="J113" s="1" t="str">
        <f>Capacity!$N$37</f>
        <v/>
      </c>
      <c r="K113" s="1">
        <f>Capacity!$O$37</f>
        <v>2080</v>
      </c>
      <c r="L113" s="1" t="s">
        <v>3</v>
      </c>
      <c r="M113" s="155">
        <f>Capacity!$S$37</f>
        <v>7.2</v>
      </c>
      <c r="N113" s="155">
        <f>Capacity!$T$37</f>
        <v>8</v>
      </c>
      <c r="O113" s="155">
        <f>Capacity!$U$37</f>
        <v>0.79999999999999982</v>
      </c>
    </row>
    <row r="114" spans="1:15" x14ac:dyDescent="0.35">
      <c r="A114" s="1" t="s">
        <v>29</v>
      </c>
      <c r="B114" s="1">
        <v>1</v>
      </c>
      <c r="C114" s="1" t="s">
        <v>41</v>
      </c>
      <c r="D114" s="1" t="s">
        <v>10</v>
      </c>
      <c r="E114" s="1">
        <f>Capacity!$G$37</f>
        <v>4</v>
      </c>
      <c r="F114" s="1">
        <f>Capacity!$J$37</f>
        <v>4</v>
      </c>
      <c r="G114" s="1">
        <f>Capacity!$K$37</f>
        <v>4</v>
      </c>
      <c r="H114" s="1" t="str">
        <f>Capacity!$L$37</f>
        <v/>
      </c>
      <c r="I114" s="1" t="str">
        <f>Capacity!$M$37</f>
        <v/>
      </c>
      <c r="J114" s="1" t="str">
        <f>Capacity!$N$37</f>
        <v/>
      </c>
      <c r="K114" s="1">
        <f>Capacity!$O$37</f>
        <v>2080</v>
      </c>
      <c r="L114" s="1" t="s">
        <v>3</v>
      </c>
      <c r="M114" s="155">
        <f>Capacity!$S$37</f>
        <v>7.2</v>
      </c>
      <c r="N114" s="155">
        <f>Capacity!$T$37</f>
        <v>8</v>
      </c>
      <c r="O114" s="155">
        <f>Capacity!$U$37</f>
        <v>0.79999999999999982</v>
      </c>
    </row>
    <row r="115" spans="1:15" x14ac:dyDescent="0.35">
      <c r="A115" s="1" t="s">
        <v>29</v>
      </c>
      <c r="B115" s="1">
        <v>1</v>
      </c>
      <c r="C115" s="1" t="s">
        <v>41</v>
      </c>
      <c r="D115" s="1" t="s">
        <v>11</v>
      </c>
      <c r="E115" s="1">
        <f>Capacity!$H$37</f>
        <v>4</v>
      </c>
      <c r="F115" s="1">
        <f>Capacity!$J$37</f>
        <v>4</v>
      </c>
      <c r="G115" s="1">
        <f>Capacity!$K$37</f>
        <v>4</v>
      </c>
      <c r="H115" s="1" t="str">
        <f>Capacity!$L$37</f>
        <v/>
      </c>
      <c r="I115" s="1" t="str">
        <f>Capacity!$M$37</f>
        <v/>
      </c>
      <c r="J115" s="1" t="str">
        <f>Capacity!$N$37</f>
        <v/>
      </c>
      <c r="K115" s="1">
        <f>Capacity!$O$37</f>
        <v>2080</v>
      </c>
      <c r="L115" s="1" t="s">
        <v>3</v>
      </c>
      <c r="M115" s="155">
        <f>Capacity!$S$37</f>
        <v>7.2</v>
      </c>
      <c r="N115" s="155">
        <f>Capacity!$T$37</f>
        <v>8</v>
      </c>
      <c r="O115" s="155">
        <f>Capacity!$U$37</f>
        <v>0.79999999999999982</v>
      </c>
    </row>
    <row r="116" spans="1:15" x14ac:dyDescent="0.35">
      <c r="A116" s="1" t="s">
        <v>29</v>
      </c>
      <c r="B116" s="1">
        <v>1</v>
      </c>
      <c r="C116" s="1" t="s">
        <v>41</v>
      </c>
      <c r="D116" s="1" t="s">
        <v>12</v>
      </c>
      <c r="E116" s="1">
        <f>Capacity!$I$37</f>
        <v>4</v>
      </c>
      <c r="F116" s="1">
        <f>Capacity!$J$37</f>
        <v>4</v>
      </c>
      <c r="G116" s="1">
        <f>Capacity!$K$37</f>
        <v>4</v>
      </c>
      <c r="H116" s="1" t="str">
        <f>Capacity!$L$37</f>
        <v/>
      </c>
      <c r="I116" s="1" t="str">
        <f>Capacity!$M$37</f>
        <v/>
      </c>
      <c r="J116" s="1" t="str">
        <f>Capacity!$N$37</f>
        <v/>
      </c>
      <c r="K116" s="1">
        <f>Capacity!$O$37</f>
        <v>2080</v>
      </c>
      <c r="L116" s="1" t="s">
        <v>3</v>
      </c>
      <c r="M116" s="155">
        <f>Capacity!$S$37</f>
        <v>7.2</v>
      </c>
      <c r="N116" s="155">
        <f>Capacity!$T$37</f>
        <v>8</v>
      </c>
      <c r="O116" s="155">
        <f>Capacity!$U$37</f>
        <v>0.79999999999999982</v>
      </c>
    </row>
    <row r="117" spans="1:15" x14ac:dyDescent="0.35">
      <c r="A117" s="1" t="s">
        <v>29</v>
      </c>
      <c r="B117" s="1">
        <v>1</v>
      </c>
      <c r="C117" s="1" t="s">
        <v>41</v>
      </c>
      <c r="D117" s="1" t="s">
        <v>8</v>
      </c>
      <c r="E117" s="1">
        <f>Capacity!$E$37</f>
        <v>0</v>
      </c>
      <c r="F117" s="1">
        <f>Capacity!$J$37</f>
        <v>4</v>
      </c>
      <c r="G117" s="1">
        <f>Capacity!$K$37</f>
        <v>4</v>
      </c>
      <c r="H117" s="1" t="str">
        <f>Capacity!$L$37</f>
        <v/>
      </c>
      <c r="I117" s="1" t="str">
        <f>Capacity!$M$37</f>
        <v/>
      </c>
      <c r="J117" s="1" t="str">
        <f>Capacity!$N$37</f>
        <v/>
      </c>
      <c r="K117" s="1">
        <f>Capacity!$O$37</f>
        <v>2080</v>
      </c>
      <c r="L117" s="1" t="s">
        <v>4</v>
      </c>
      <c r="M117" s="1">
        <f>Capacity!$V$37</f>
        <v>3.6</v>
      </c>
      <c r="N117" s="1">
        <f>Capacity!$W$37</f>
        <v>4</v>
      </c>
      <c r="O117" s="1">
        <f>Capacity!$X$37</f>
        <v>0.39999999999999991</v>
      </c>
    </row>
    <row r="118" spans="1:15" x14ac:dyDescent="0.35">
      <c r="A118" s="1" t="s">
        <v>29</v>
      </c>
      <c r="B118" s="1">
        <v>1</v>
      </c>
      <c r="C118" s="1" t="s">
        <v>41</v>
      </c>
      <c r="D118" s="1" t="s">
        <v>55</v>
      </c>
      <c r="E118" s="1">
        <f>Capacity!$F$37</f>
        <v>4</v>
      </c>
      <c r="F118" s="1">
        <f>Capacity!$J$37</f>
        <v>4</v>
      </c>
      <c r="G118" s="1">
        <f>Capacity!$K$37</f>
        <v>4</v>
      </c>
      <c r="H118" s="1" t="str">
        <f>Capacity!$L$37</f>
        <v/>
      </c>
      <c r="I118" s="1" t="str">
        <f>Capacity!$M$37</f>
        <v/>
      </c>
      <c r="J118" s="1" t="str">
        <f>Capacity!$N$37</f>
        <v/>
      </c>
      <c r="K118" s="1">
        <f>Capacity!$O$37</f>
        <v>2080</v>
      </c>
      <c r="L118" s="1" t="s">
        <v>4</v>
      </c>
      <c r="M118" s="1">
        <f>Capacity!$V$37</f>
        <v>3.6</v>
      </c>
      <c r="N118" s="1">
        <f>Capacity!$W$37</f>
        <v>4</v>
      </c>
      <c r="O118" s="1">
        <f>Capacity!$X$37</f>
        <v>0.39999999999999991</v>
      </c>
    </row>
    <row r="119" spans="1:15" x14ac:dyDescent="0.35">
      <c r="A119" s="1" t="s">
        <v>29</v>
      </c>
      <c r="B119" s="1">
        <v>1</v>
      </c>
      <c r="C119" s="1" t="s">
        <v>41</v>
      </c>
      <c r="D119" s="1" t="s">
        <v>10</v>
      </c>
      <c r="E119" s="1">
        <f>Capacity!$G$37</f>
        <v>4</v>
      </c>
      <c r="F119" s="1">
        <f>Capacity!$J$37</f>
        <v>4</v>
      </c>
      <c r="G119" s="1">
        <f>Capacity!$K$37</f>
        <v>4</v>
      </c>
      <c r="H119" s="1" t="str">
        <f>Capacity!$L$37</f>
        <v/>
      </c>
      <c r="I119" s="1" t="str">
        <f>Capacity!$M$37</f>
        <v/>
      </c>
      <c r="J119" s="1" t="str">
        <f>Capacity!$N$37</f>
        <v/>
      </c>
      <c r="K119" s="1">
        <f>Capacity!$O$37</f>
        <v>2080</v>
      </c>
      <c r="L119" s="1" t="s">
        <v>4</v>
      </c>
      <c r="M119" s="1">
        <f>Capacity!$V$37</f>
        <v>3.6</v>
      </c>
      <c r="N119" s="1">
        <f>Capacity!$W$37</f>
        <v>4</v>
      </c>
      <c r="O119" s="1">
        <f>Capacity!$X$37</f>
        <v>0.39999999999999991</v>
      </c>
    </row>
    <row r="120" spans="1:15" x14ac:dyDescent="0.35">
      <c r="A120" s="1" t="s">
        <v>29</v>
      </c>
      <c r="B120" s="1">
        <v>1</v>
      </c>
      <c r="C120" s="1" t="s">
        <v>41</v>
      </c>
      <c r="D120" s="1" t="s">
        <v>11</v>
      </c>
      <c r="E120" s="1">
        <f>Capacity!$H$37</f>
        <v>4</v>
      </c>
      <c r="F120" s="1">
        <f>Capacity!$J$37</f>
        <v>4</v>
      </c>
      <c r="G120" s="1">
        <f>Capacity!$K$37</f>
        <v>4</v>
      </c>
      <c r="H120" s="1" t="str">
        <f>Capacity!$L$37</f>
        <v/>
      </c>
      <c r="I120" s="1" t="str">
        <f>Capacity!$M$37</f>
        <v/>
      </c>
      <c r="J120" s="1" t="str">
        <f>Capacity!$N$37</f>
        <v/>
      </c>
      <c r="K120" s="1">
        <f>Capacity!$O$37</f>
        <v>2080</v>
      </c>
      <c r="L120" s="1" t="s">
        <v>4</v>
      </c>
      <c r="M120" s="1">
        <f>Capacity!$V$37</f>
        <v>3.6</v>
      </c>
      <c r="N120" s="1">
        <f>Capacity!$W$37</f>
        <v>4</v>
      </c>
      <c r="O120" s="1">
        <f>Capacity!$X$37</f>
        <v>0.39999999999999991</v>
      </c>
    </row>
    <row r="121" spans="1:15" x14ac:dyDescent="0.35">
      <c r="A121" s="1" t="s">
        <v>29</v>
      </c>
      <c r="B121" s="1">
        <v>1</v>
      </c>
      <c r="C121" s="1" t="s">
        <v>41</v>
      </c>
      <c r="D121" s="1" t="s">
        <v>12</v>
      </c>
      <c r="E121" s="1">
        <f>Capacity!$I$37</f>
        <v>4</v>
      </c>
      <c r="F121" s="1">
        <f>Capacity!$J$37</f>
        <v>4</v>
      </c>
      <c r="G121" s="1">
        <f>Capacity!$K$37</f>
        <v>4</v>
      </c>
      <c r="H121" s="1" t="str">
        <f>Capacity!$L$37</f>
        <v/>
      </c>
      <c r="I121" s="1" t="str">
        <f>Capacity!$M$37</f>
        <v/>
      </c>
      <c r="J121" s="1" t="str">
        <f>Capacity!$N$37</f>
        <v/>
      </c>
      <c r="K121" s="1">
        <f>Capacity!$O$37</f>
        <v>2080</v>
      </c>
      <c r="L121" s="1" t="s">
        <v>4</v>
      </c>
      <c r="M121" s="1">
        <f>Capacity!$V$37</f>
        <v>3.6</v>
      </c>
      <c r="N121" s="1">
        <f>Capacity!$W$37</f>
        <v>4</v>
      </c>
      <c r="O121" s="1">
        <f>Capacity!$X$37</f>
        <v>0.39999999999999991</v>
      </c>
    </row>
    <row r="122" spans="1:15" x14ac:dyDescent="0.35">
      <c r="A122" s="1" t="s">
        <v>29</v>
      </c>
      <c r="B122" s="1">
        <v>1</v>
      </c>
      <c r="C122" s="1" t="s">
        <v>41</v>
      </c>
      <c r="D122" s="1" t="s">
        <v>8</v>
      </c>
      <c r="E122" s="1">
        <f>Capacity!$E$37</f>
        <v>0</v>
      </c>
      <c r="F122" s="1">
        <f>Capacity!$J$37</f>
        <v>4</v>
      </c>
      <c r="G122" s="1">
        <f>Capacity!$K$37</f>
        <v>4</v>
      </c>
      <c r="H122" s="1" t="str">
        <f>Capacity!$L$37</f>
        <v/>
      </c>
      <c r="I122" s="1" t="str">
        <f>Capacity!$M$37</f>
        <v/>
      </c>
      <c r="J122" s="1" t="str">
        <f>Capacity!$N$37</f>
        <v/>
      </c>
      <c r="K122" s="1">
        <f>Capacity!$O$37</f>
        <v>2080</v>
      </c>
      <c r="L122" s="1" t="s">
        <v>56</v>
      </c>
      <c r="M122" s="155">
        <f>Capacity!$Y$37</f>
        <v>159.31914893617022</v>
      </c>
      <c r="N122" s="155">
        <f>Capacity!$Z$37</f>
        <v>177.02127659574469</v>
      </c>
      <c r="O122" s="155">
        <f>Capacity!$AA$37</f>
        <v>17.702127659574472</v>
      </c>
    </row>
    <row r="123" spans="1:15" x14ac:dyDescent="0.35">
      <c r="A123" s="1" t="s">
        <v>29</v>
      </c>
      <c r="B123" s="1">
        <v>1</v>
      </c>
      <c r="C123" s="1" t="s">
        <v>41</v>
      </c>
      <c r="D123" s="1" t="s">
        <v>55</v>
      </c>
      <c r="E123" s="1">
        <f>Capacity!$F$37</f>
        <v>4</v>
      </c>
      <c r="F123" s="1">
        <f>Capacity!$J$37</f>
        <v>4</v>
      </c>
      <c r="G123" s="1">
        <f>Capacity!$K$37</f>
        <v>4</v>
      </c>
      <c r="H123" s="1" t="str">
        <f>Capacity!$L$37</f>
        <v/>
      </c>
      <c r="I123" s="1" t="str">
        <f>Capacity!$M$37</f>
        <v/>
      </c>
      <c r="J123" s="1" t="str">
        <f>Capacity!$N$37</f>
        <v/>
      </c>
      <c r="K123" s="1">
        <f>Capacity!$O$37</f>
        <v>2080</v>
      </c>
      <c r="L123" s="1" t="s">
        <v>56</v>
      </c>
      <c r="M123" s="155">
        <f>Capacity!$Y$37</f>
        <v>159.31914893617022</v>
      </c>
      <c r="N123" s="155">
        <f>Capacity!$Z$37</f>
        <v>177.02127659574469</v>
      </c>
      <c r="O123" s="155">
        <f>Capacity!$AA$37</f>
        <v>17.702127659574472</v>
      </c>
    </row>
    <row r="124" spans="1:15" x14ac:dyDescent="0.35">
      <c r="A124" s="1" t="s">
        <v>29</v>
      </c>
      <c r="B124" s="1">
        <v>1</v>
      </c>
      <c r="C124" s="1" t="s">
        <v>41</v>
      </c>
      <c r="D124" s="1" t="s">
        <v>10</v>
      </c>
      <c r="E124" s="1">
        <f>Capacity!$G$37</f>
        <v>4</v>
      </c>
      <c r="F124" s="1">
        <f>Capacity!$J$37</f>
        <v>4</v>
      </c>
      <c r="G124" s="1">
        <f>Capacity!$K$37</f>
        <v>4</v>
      </c>
      <c r="H124" s="1" t="str">
        <f>Capacity!$L$37</f>
        <v/>
      </c>
      <c r="I124" s="1" t="str">
        <f>Capacity!$M$37</f>
        <v/>
      </c>
      <c r="J124" s="1" t="str">
        <f>Capacity!$N$37</f>
        <v/>
      </c>
      <c r="K124" s="1">
        <f>Capacity!$O$37</f>
        <v>2080</v>
      </c>
      <c r="L124" s="1" t="s">
        <v>56</v>
      </c>
      <c r="M124" s="155">
        <f>Capacity!$Y$37</f>
        <v>159.31914893617022</v>
      </c>
      <c r="N124" s="155">
        <f>Capacity!$Z$37</f>
        <v>177.02127659574469</v>
      </c>
      <c r="O124" s="155">
        <f>Capacity!$AA$37</f>
        <v>17.702127659574472</v>
      </c>
    </row>
    <row r="125" spans="1:15" x14ac:dyDescent="0.35">
      <c r="A125" s="1" t="s">
        <v>29</v>
      </c>
      <c r="B125" s="1">
        <v>1</v>
      </c>
      <c r="C125" s="1" t="s">
        <v>41</v>
      </c>
      <c r="D125" s="1" t="s">
        <v>11</v>
      </c>
      <c r="E125" s="1">
        <f>Capacity!$H$37</f>
        <v>4</v>
      </c>
      <c r="F125" s="1">
        <f>Capacity!$J$37</f>
        <v>4</v>
      </c>
      <c r="G125" s="1">
        <f>Capacity!$K$37</f>
        <v>4</v>
      </c>
      <c r="H125" s="1" t="str">
        <f>Capacity!$L$37</f>
        <v/>
      </c>
      <c r="I125" s="1" t="str">
        <f>Capacity!$M$37</f>
        <v/>
      </c>
      <c r="J125" s="1" t="str">
        <f>Capacity!$N$37</f>
        <v/>
      </c>
      <c r="K125" s="1">
        <f>Capacity!$O$37</f>
        <v>2080</v>
      </c>
      <c r="L125" s="1" t="s">
        <v>56</v>
      </c>
      <c r="M125" s="155">
        <f>Capacity!$Y$37</f>
        <v>159.31914893617022</v>
      </c>
      <c r="N125" s="155">
        <f>Capacity!$Z$37</f>
        <v>177.02127659574469</v>
      </c>
      <c r="O125" s="155">
        <f>Capacity!$AA$37</f>
        <v>17.702127659574472</v>
      </c>
    </row>
    <row r="126" spans="1:15" x14ac:dyDescent="0.35">
      <c r="A126" s="1" t="s">
        <v>29</v>
      </c>
      <c r="B126" s="1">
        <v>1</v>
      </c>
      <c r="C126" s="1" t="s">
        <v>41</v>
      </c>
      <c r="D126" s="1" t="s">
        <v>12</v>
      </c>
      <c r="E126" s="1">
        <f>Capacity!$I$37</f>
        <v>4</v>
      </c>
      <c r="F126" s="1">
        <f>Capacity!$J$37</f>
        <v>4</v>
      </c>
      <c r="G126" s="1">
        <f>Capacity!$K$37</f>
        <v>4</v>
      </c>
      <c r="H126" s="1" t="str">
        <f>Capacity!$L$37</f>
        <v/>
      </c>
      <c r="I126" s="1" t="str">
        <f>Capacity!$M$37</f>
        <v/>
      </c>
      <c r="J126" s="1" t="str">
        <f>Capacity!$N$37</f>
        <v/>
      </c>
      <c r="K126" s="1">
        <f>Capacity!$O$37</f>
        <v>2080</v>
      </c>
      <c r="L126" s="1" t="s">
        <v>56</v>
      </c>
      <c r="M126" s="155">
        <f>Capacity!$Y$37</f>
        <v>159.31914893617022</v>
      </c>
      <c r="N126" s="155">
        <f>Capacity!$Z$37</f>
        <v>177.02127659574469</v>
      </c>
      <c r="O126" s="155">
        <f>Capacity!$AA$37</f>
        <v>17.702127659574472</v>
      </c>
    </row>
    <row r="127" spans="1:15" x14ac:dyDescent="0.35">
      <c r="A127" s="1" t="s">
        <v>31</v>
      </c>
      <c r="B127" s="1">
        <v>2</v>
      </c>
      <c r="C127" s="1" t="s">
        <v>41</v>
      </c>
      <c r="D127" s="1" t="s">
        <v>8</v>
      </c>
      <c r="E127" s="1">
        <f>Capacity!$E$38</f>
        <v>0</v>
      </c>
      <c r="F127" s="1">
        <f>Capacity!$J$38</f>
        <v>4</v>
      </c>
      <c r="G127" s="1">
        <f>Capacity!$K$38</f>
        <v>2</v>
      </c>
      <c r="H127" s="1" t="str">
        <f>Capacity!$L$38</f>
        <v/>
      </c>
      <c r="I127" s="1">
        <f>Capacity!$M$38</f>
        <v>1520</v>
      </c>
      <c r="J127" s="1" t="str">
        <f>Capacity!$N$38</f>
        <v/>
      </c>
      <c r="K127" s="1" t="str">
        <f>Capacity!$O$38</f>
        <v/>
      </c>
      <c r="L127" s="1" t="s">
        <v>2</v>
      </c>
      <c r="M127" s="1">
        <f>Capacity!$P$38</f>
        <v>1427</v>
      </c>
      <c r="N127" s="1">
        <f>Capacity!$Q$38</f>
        <v>1520</v>
      </c>
      <c r="O127" s="1">
        <f>Capacity!$R$38</f>
        <v>93</v>
      </c>
    </row>
    <row r="128" spans="1:15" x14ac:dyDescent="0.35">
      <c r="A128" s="1" t="s">
        <v>31</v>
      </c>
      <c r="B128" s="1">
        <v>2</v>
      </c>
      <c r="C128" s="1" t="s">
        <v>41</v>
      </c>
      <c r="D128" s="1" t="s">
        <v>55</v>
      </c>
      <c r="E128" s="1">
        <f>Capacity!$F$38</f>
        <v>0</v>
      </c>
      <c r="F128" s="1">
        <f>Capacity!$J$38</f>
        <v>4</v>
      </c>
      <c r="G128" s="1">
        <f>Capacity!$K$38</f>
        <v>2</v>
      </c>
      <c r="H128" s="1" t="str">
        <f>Capacity!$L$38</f>
        <v/>
      </c>
      <c r="I128" s="1">
        <f>Capacity!$M$38</f>
        <v>1520</v>
      </c>
      <c r="J128" s="1" t="str">
        <f>Capacity!$N$38</f>
        <v/>
      </c>
      <c r="K128" s="1" t="str">
        <f>Capacity!$O$38</f>
        <v/>
      </c>
      <c r="L128" s="1" t="s">
        <v>2</v>
      </c>
      <c r="M128" s="1">
        <f>Capacity!$P$38</f>
        <v>1427</v>
      </c>
      <c r="N128" s="1">
        <f>Capacity!$Q$38</f>
        <v>1520</v>
      </c>
      <c r="O128" s="1">
        <f>Capacity!$R$38</f>
        <v>93</v>
      </c>
    </row>
    <row r="129" spans="1:15" x14ac:dyDescent="0.35">
      <c r="A129" s="1" t="s">
        <v>31</v>
      </c>
      <c r="B129" s="1">
        <v>2</v>
      </c>
      <c r="C129" s="1" t="s">
        <v>41</v>
      </c>
      <c r="D129" s="1" t="s">
        <v>10</v>
      </c>
      <c r="E129" s="1">
        <f>Capacity!$G$38</f>
        <v>4</v>
      </c>
      <c r="F129" s="1">
        <f>Capacity!$J$38</f>
        <v>4</v>
      </c>
      <c r="G129" s="1">
        <f>Capacity!$K$38</f>
        <v>2</v>
      </c>
      <c r="H129" s="1" t="str">
        <f>Capacity!$L$38</f>
        <v/>
      </c>
      <c r="I129" s="1">
        <f>Capacity!$M$38</f>
        <v>1520</v>
      </c>
      <c r="J129" s="1" t="str">
        <f>Capacity!$N$38</f>
        <v/>
      </c>
      <c r="K129" s="1" t="str">
        <f>Capacity!$O$38</f>
        <v/>
      </c>
      <c r="L129" s="1" t="s">
        <v>2</v>
      </c>
      <c r="M129" s="1">
        <f>Capacity!$P$38</f>
        <v>1427</v>
      </c>
      <c r="N129" s="1">
        <f>Capacity!$Q$38</f>
        <v>1520</v>
      </c>
      <c r="O129" s="1">
        <f>Capacity!$R$38</f>
        <v>93</v>
      </c>
    </row>
    <row r="130" spans="1:15" x14ac:dyDescent="0.35">
      <c r="A130" s="1" t="s">
        <v>31</v>
      </c>
      <c r="B130" s="1">
        <v>2</v>
      </c>
      <c r="C130" s="1" t="s">
        <v>41</v>
      </c>
      <c r="D130" s="1" t="s">
        <v>11</v>
      </c>
      <c r="E130" s="1">
        <f>Capacity!$H$38</f>
        <v>4</v>
      </c>
      <c r="F130" s="1">
        <f>Capacity!$J$38</f>
        <v>4</v>
      </c>
      <c r="G130" s="1">
        <f>Capacity!$K$38</f>
        <v>2</v>
      </c>
      <c r="H130" s="1" t="str">
        <f>Capacity!$L$38</f>
        <v/>
      </c>
      <c r="I130" s="1">
        <f>Capacity!$M$38</f>
        <v>1520</v>
      </c>
      <c r="J130" s="1" t="str">
        <f>Capacity!$N$38</f>
        <v/>
      </c>
      <c r="K130" s="1" t="str">
        <f>Capacity!$O$38</f>
        <v/>
      </c>
      <c r="L130" s="1" t="s">
        <v>2</v>
      </c>
      <c r="M130" s="1">
        <f>Capacity!$P$38</f>
        <v>1427</v>
      </c>
      <c r="N130" s="1">
        <f>Capacity!$Q$38</f>
        <v>1520</v>
      </c>
      <c r="O130" s="1">
        <f>Capacity!$R$38</f>
        <v>93</v>
      </c>
    </row>
    <row r="131" spans="1:15" x14ac:dyDescent="0.35">
      <c r="A131" s="1" t="s">
        <v>31</v>
      </c>
      <c r="B131" s="1">
        <v>2</v>
      </c>
      <c r="C131" s="1" t="s">
        <v>41</v>
      </c>
      <c r="D131" s="1" t="s">
        <v>12</v>
      </c>
      <c r="E131" s="1">
        <f>Capacity!$I$38</f>
        <v>4</v>
      </c>
      <c r="F131" s="1">
        <f>Capacity!$J$38</f>
        <v>4</v>
      </c>
      <c r="G131" s="1">
        <f>Capacity!$K$38</f>
        <v>2</v>
      </c>
      <c r="H131" s="1" t="str">
        <f>Capacity!$L$38</f>
        <v/>
      </c>
      <c r="I131" s="1">
        <f>Capacity!$M$38</f>
        <v>1520</v>
      </c>
      <c r="J131" s="1" t="str">
        <f>Capacity!$N$38</f>
        <v/>
      </c>
      <c r="K131" s="1" t="str">
        <f>Capacity!$O$38</f>
        <v/>
      </c>
      <c r="L131" s="1" t="s">
        <v>2</v>
      </c>
      <c r="M131" s="1">
        <f>Capacity!$P$38</f>
        <v>1427</v>
      </c>
      <c r="N131" s="1">
        <f>Capacity!$Q$38</f>
        <v>1520</v>
      </c>
      <c r="O131" s="1">
        <f>Capacity!$R$38</f>
        <v>93</v>
      </c>
    </row>
    <row r="132" spans="1:15" x14ac:dyDescent="0.35">
      <c r="A132" s="1" t="s">
        <v>31</v>
      </c>
      <c r="B132" s="1">
        <v>2</v>
      </c>
      <c r="C132" s="1" t="s">
        <v>41</v>
      </c>
      <c r="D132" s="1" t="s">
        <v>8</v>
      </c>
      <c r="E132" s="1">
        <f>Capacity!$E$38</f>
        <v>0</v>
      </c>
      <c r="F132" s="1">
        <f>Capacity!$J$38</f>
        <v>4</v>
      </c>
      <c r="G132" s="1">
        <f>Capacity!$K$38</f>
        <v>2</v>
      </c>
      <c r="H132" s="1" t="str">
        <f>Capacity!$L$38</f>
        <v/>
      </c>
      <c r="I132" s="1">
        <f>Capacity!$M$38</f>
        <v>1520</v>
      </c>
      <c r="J132" s="1" t="str">
        <f>Capacity!$N$38</f>
        <v/>
      </c>
      <c r="K132" s="1" t="str">
        <f>Capacity!$O$38</f>
        <v/>
      </c>
      <c r="L132" s="1" t="s">
        <v>3</v>
      </c>
      <c r="M132" s="152">
        <f>Capacity!$S$38</f>
        <v>7.5105263157894733</v>
      </c>
      <c r="N132" s="152">
        <f>Capacity!$T$38</f>
        <v>8</v>
      </c>
      <c r="O132" s="152">
        <f>Capacity!$U$38</f>
        <v>0.48947368421052673</v>
      </c>
    </row>
    <row r="133" spans="1:15" x14ac:dyDescent="0.35">
      <c r="A133" s="1" t="s">
        <v>31</v>
      </c>
      <c r="B133" s="1">
        <v>2</v>
      </c>
      <c r="C133" s="1" t="s">
        <v>41</v>
      </c>
      <c r="D133" s="1" t="s">
        <v>55</v>
      </c>
      <c r="E133" s="1">
        <f>Capacity!$F$38</f>
        <v>0</v>
      </c>
      <c r="F133" s="1">
        <f>Capacity!$J$38</f>
        <v>4</v>
      </c>
      <c r="G133" s="1">
        <f>Capacity!$K$38</f>
        <v>2</v>
      </c>
      <c r="H133" s="1" t="str">
        <f>Capacity!$L$38</f>
        <v/>
      </c>
      <c r="I133" s="1">
        <f>Capacity!$M$38</f>
        <v>1520</v>
      </c>
      <c r="J133" s="1" t="str">
        <f>Capacity!$N$38</f>
        <v/>
      </c>
      <c r="K133" s="1" t="str">
        <f>Capacity!$O$38</f>
        <v/>
      </c>
      <c r="L133" s="1" t="s">
        <v>3</v>
      </c>
      <c r="M133" s="152">
        <f>Capacity!$S$38</f>
        <v>7.5105263157894733</v>
      </c>
      <c r="N133" s="152">
        <f>Capacity!$T$38</f>
        <v>8</v>
      </c>
      <c r="O133" s="152">
        <f>Capacity!$U$38</f>
        <v>0.48947368421052673</v>
      </c>
    </row>
    <row r="134" spans="1:15" x14ac:dyDescent="0.35">
      <c r="A134" s="1" t="s">
        <v>31</v>
      </c>
      <c r="B134" s="1">
        <v>2</v>
      </c>
      <c r="C134" s="1" t="s">
        <v>41</v>
      </c>
      <c r="D134" s="1" t="s">
        <v>10</v>
      </c>
      <c r="E134" s="1">
        <f>Capacity!$G$38</f>
        <v>4</v>
      </c>
      <c r="F134" s="1">
        <f>Capacity!$J$38</f>
        <v>4</v>
      </c>
      <c r="G134" s="1">
        <f>Capacity!$K$38</f>
        <v>2</v>
      </c>
      <c r="H134" s="1" t="str">
        <f>Capacity!$L$38</f>
        <v/>
      </c>
      <c r="I134" s="1">
        <f>Capacity!$M$38</f>
        <v>1520</v>
      </c>
      <c r="J134" s="1" t="str">
        <f>Capacity!$N$38</f>
        <v/>
      </c>
      <c r="K134" s="1" t="str">
        <f>Capacity!$O$38</f>
        <v/>
      </c>
      <c r="L134" s="1" t="s">
        <v>3</v>
      </c>
      <c r="M134" s="152">
        <f>Capacity!$S$38</f>
        <v>7.5105263157894733</v>
      </c>
      <c r="N134" s="152">
        <f>Capacity!$T$38</f>
        <v>8</v>
      </c>
      <c r="O134" s="152">
        <f>Capacity!$U$38</f>
        <v>0.48947368421052673</v>
      </c>
    </row>
    <row r="135" spans="1:15" x14ac:dyDescent="0.35">
      <c r="A135" s="1" t="s">
        <v>31</v>
      </c>
      <c r="B135" s="1">
        <v>2</v>
      </c>
      <c r="C135" s="1" t="s">
        <v>41</v>
      </c>
      <c r="D135" s="1" t="s">
        <v>11</v>
      </c>
      <c r="E135" s="1">
        <f>Capacity!$H$38</f>
        <v>4</v>
      </c>
      <c r="F135" s="1">
        <f>Capacity!$J$38</f>
        <v>4</v>
      </c>
      <c r="G135" s="1">
        <f>Capacity!$K$38</f>
        <v>2</v>
      </c>
      <c r="H135" s="1" t="str">
        <f>Capacity!$L$38</f>
        <v/>
      </c>
      <c r="I135" s="1">
        <f>Capacity!$M$38</f>
        <v>1520</v>
      </c>
      <c r="J135" s="1" t="str">
        <f>Capacity!$N$38</f>
        <v/>
      </c>
      <c r="K135" s="1" t="str">
        <f>Capacity!$O$38</f>
        <v/>
      </c>
      <c r="L135" s="1" t="s">
        <v>3</v>
      </c>
      <c r="M135" s="152">
        <f>Capacity!$S$38</f>
        <v>7.5105263157894733</v>
      </c>
      <c r="N135" s="152">
        <f>Capacity!$T$38</f>
        <v>8</v>
      </c>
      <c r="O135" s="152">
        <f>Capacity!$U$38</f>
        <v>0.48947368421052673</v>
      </c>
    </row>
    <row r="136" spans="1:15" x14ac:dyDescent="0.35">
      <c r="A136" s="1" t="s">
        <v>31</v>
      </c>
      <c r="B136" s="1">
        <v>2</v>
      </c>
      <c r="C136" s="1" t="s">
        <v>41</v>
      </c>
      <c r="D136" s="1" t="s">
        <v>12</v>
      </c>
      <c r="E136" s="1">
        <f>Capacity!$I$38</f>
        <v>4</v>
      </c>
      <c r="F136" s="1">
        <f>Capacity!$J$38</f>
        <v>4</v>
      </c>
      <c r="G136" s="1">
        <f>Capacity!$K$38</f>
        <v>2</v>
      </c>
      <c r="H136" s="1" t="str">
        <f>Capacity!$L$38</f>
        <v/>
      </c>
      <c r="I136" s="1">
        <f>Capacity!$M$38</f>
        <v>1520</v>
      </c>
      <c r="J136" s="1" t="str">
        <f>Capacity!$N$38</f>
        <v/>
      </c>
      <c r="K136" s="1" t="str">
        <f>Capacity!$O$38</f>
        <v/>
      </c>
      <c r="L136" s="1" t="s">
        <v>3</v>
      </c>
      <c r="M136" s="152">
        <f>Capacity!$S$38</f>
        <v>7.5105263157894733</v>
      </c>
      <c r="N136" s="152">
        <f>Capacity!$T$38</f>
        <v>8</v>
      </c>
      <c r="O136" s="152">
        <f>Capacity!$U$38</f>
        <v>0.48947368421052673</v>
      </c>
    </row>
    <row r="137" spans="1:15" x14ac:dyDescent="0.35">
      <c r="A137" s="1" t="s">
        <v>31</v>
      </c>
      <c r="B137" s="1">
        <v>2</v>
      </c>
      <c r="C137" s="1" t="s">
        <v>41</v>
      </c>
      <c r="D137" s="1" t="s">
        <v>8</v>
      </c>
      <c r="E137" s="1">
        <f>Capacity!$E$38</f>
        <v>0</v>
      </c>
      <c r="F137" s="1">
        <f>Capacity!$J$38</f>
        <v>4</v>
      </c>
      <c r="G137" s="1">
        <f>Capacity!$K$38</f>
        <v>2</v>
      </c>
      <c r="H137" s="1" t="str">
        <f>Capacity!$L$38</f>
        <v/>
      </c>
      <c r="I137" s="1">
        <f>Capacity!$M$38</f>
        <v>1520</v>
      </c>
      <c r="J137" s="1" t="str">
        <f>Capacity!$N$38</f>
        <v/>
      </c>
      <c r="K137" s="1" t="str">
        <f>Capacity!$O$38</f>
        <v/>
      </c>
      <c r="L137" s="1" t="s">
        <v>4</v>
      </c>
      <c r="M137" s="152">
        <f>Capacity!$V$38</f>
        <v>3.7552631578947366</v>
      </c>
      <c r="N137" s="152">
        <f>Capacity!$W$38</f>
        <v>4</v>
      </c>
      <c r="O137" s="152">
        <f>Capacity!$X$38</f>
        <v>0.24473684210526336</v>
      </c>
    </row>
    <row r="138" spans="1:15" x14ac:dyDescent="0.35">
      <c r="A138" s="1" t="s">
        <v>31</v>
      </c>
      <c r="B138" s="1">
        <v>2</v>
      </c>
      <c r="C138" s="1" t="s">
        <v>41</v>
      </c>
      <c r="D138" s="1" t="s">
        <v>55</v>
      </c>
      <c r="E138" s="1">
        <f>Capacity!$F$38</f>
        <v>0</v>
      </c>
      <c r="F138" s="1">
        <f>Capacity!$J$38</f>
        <v>4</v>
      </c>
      <c r="G138" s="1">
        <f>Capacity!$K$38</f>
        <v>2</v>
      </c>
      <c r="H138" s="1" t="str">
        <f>Capacity!$L$38</f>
        <v/>
      </c>
      <c r="I138" s="1">
        <f>Capacity!$M$38</f>
        <v>1520</v>
      </c>
      <c r="J138" s="1" t="str">
        <f>Capacity!$N$38</f>
        <v/>
      </c>
      <c r="K138" s="1" t="str">
        <f>Capacity!$O$38</f>
        <v/>
      </c>
      <c r="L138" s="1" t="s">
        <v>4</v>
      </c>
      <c r="M138" s="152">
        <f>Capacity!$V$38</f>
        <v>3.7552631578947366</v>
      </c>
      <c r="N138" s="152">
        <f>Capacity!$W$38</f>
        <v>4</v>
      </c>
      <c r="O138" s="152">
        <f>Capacity!$X$38</f>
        <v>0.24473684210526336</v>
      </c>
    </row>
    <row r="139" spans="1:15" x14ac:dyDescent="0.35">
      <c r="A139" s="1" t="s">
        <v>31</v>
      </c>
      <c r="B139" s="1">
        <v>2</v>
      </c>
      <c r="C139" s="1" t="s">
        <v>41</v>
      </c>
      <c r="D139" s="1" t="s">
        <v>10</v>
      </c>
      <c r="E139" s="1">
        <f>Capacity!$G$38</f>
        <v>4</v>
      </c>
      <c r="F139" s="1">
        <f>Capacity!$J$38</f>
        <v>4</v>
      </c>
      <c r="G139" s="1">
        <f>Capacity!$K$38</f>
        <v>2</v>
      </c>
      <c r="H139" s="1" t="str">
        <f>Capacity!$L$38</f>
        <v/>
      </c>
      <c r="I139" s="1">
        <f>Capacity!$M$38</f>
        <v>1520</v>
      </c>
      <c r="J139" s="1" t="str">
        <f>Capacity!$N$38</f>
        <v/>
      </c>
      <c r="K139" s="1" t="str">
        <f>Capacity!$O$38</f>
        <v/>
      </c>
      <c r="L139" s="1" t="s">
        <v>4</v>
      </c>
      <c r="M139" s="152">
        <f>Capacity!$V$38</f>
        <v>3.7552631578947366</v>
      </c>
      <c r="N139" s="152">
        <f>Capacity!$W$38</f>
        <v>4</v>
      </c>
      <c r="O139" s="152">
        <f>Capacity!$X$38</f>
        <v>0.24473684210526336</v>
      </c>
    </row>
    <row r="140" spans="1:15" x14ac:dyDescent="0.35">
      <c r="A140" s="1" t="s">
        <v>31</v>
      </c>
      <c r="B140" s="1">
        <v>2</v>
      </c>
      <c r="C140" s="1" t="s">
        <v>41</v>
      </c>
      <c r="D140" s="1" t="s">
        <v>11</v>
      </c>
      <c r="E140" s="1">
        <f>Capacity!$H$38</f>
        <v>4</v>
      </c>
      <c r="F140" s="1">
        <f>Capacity!$J$38</f>
        <v>4</v>
      </c>
      <c r="G140" s="1">
        <f>Capacity!$K$38</f>
        <v>2</v>
      </c>
      <c r="H140" s="1" t="str">
        <f>Capacity!$L$38</f>
        <v/>
      </c>
      <c r="I140" s="1">
        <f>Capacity!$M$38</f>
        <v>1520</v>
      </c>
      <c r="J140" s="1" t="str">
        <f>Capacity!$N$38</f>
        <v/>
      </c>
      <c r="K140" s="1" t="str">
        <f>Capacity!$O$38</f>
        <v/>
      </c>
      <c r="L140" s="1" t="s">
        <v>4</v>
      </c>
      <c r="M140" s="152">
        <f>Capacity!$V$38</f>
        <v>3.7552631578947366</v>
      </c>
      <c r="N140" s="152">
        <f>Capacity!$W$38</f>
        <v>4</v>
      </c>
      <c r="O140" s="152">
        <f>Capacity!$X$38</f>
        <v>0.24473684210526336</v>
      </c>
    </row>
    <row r="141" spans="1:15" x14ac:dyDescent="0.35">
      <c r="A141" s="1" t="s">
        <v>31</v>
      </c>
      <c r="B141" s="1">
        <v>2</v>
      </c>
      <c r="C141" s="1" t="s">
        <v>41</v>
      </c>
      <c r="D141" s="1" t="s">
        <v>12</v>
      </c>
      <c r="E141" s="1">
        <f>Capacity!$I$38</f>
        <v>4</v>
      </c>
      <c r="F141" s="1">
        <f>Capacity!$J$38</f>
        <v>4</v>
      </c>
      <c r="G141" s="1">
        <f>Capacity!$K$38</f>
        <v>2</v>
      </c>
      <c r="H141" s="1" t="str">
        <f>Capacity!$L$38</f>
        <v/>
      </c>
      <c r="I141" s="1">
        <f>Capacity!$M$38</f>
        <v>1520</v>
      </c>
      <c r="J141" s="1" t="str">
        <f>Capacity!$N$38</f>
        <v/>
      </c>
      <c r="K141" s="1" t="str">
        <f>Capacity!$O$38</f>
        <v/>
      </c>
      <c r="L141" s="1" t="s">
        <v>4</v>
      </c>
      <c r="M141" s="152">
        <f>Capacity!$V$38</f>
        <v>3.7552631578947366</v>
      </c>
      <c r="N141" s="152">
        <f>Capacity!$W$38</f>
        <v>4</v>
      </c>
      <c r="O141" s="152">
        <f>Capacity!$X$38</f>
        <v>0.24473684210526336</v>
      </c>
    </row>
    <row r="142" spans="1:15" x14ac:dyDescent="0.35">
      <c r="A142" s="1" t="s">
        <v>31</v>
      </c>
      <c r="B142" s="1">
        <v>2</v>
      </c>
      <c r="C142" s="1" t="s">
        <v>41</v>
      </c>
      <c r="D142" s="1" t="s">
        <v>8</v>
      </c>
      <c r="E142" s="1">
        <f>Capacity!$E$38</f>
        <v>0</v>
      </c>
      <c r="F142" s="1">
        <f>Capacity!$J$38</f>
        <v>4</v>
      </c>
      <c r="G142" s="1">
        <f>Capacity!$K$38</f>
        <v>2</v>
      </c>
      <c r="H142" s="1" t="str">
        <f>Capacity!$L$38</f>
        <v/>
      </c>
      <c r="I142" s="1">
        <f>Capacity!$M$38</f>
        <v>1520</v>
      </c>
      <c r="J142" s="1" t="str">
        <f>Capacity!$N$38</f>
        <v/>
      </c>
      <c r="K142" s="1" t="str">
        <f>Capacity!$O$38</f>
        <v/>
      </c>
      <c r="L142" s="1" t="s">
        <v>56</v>
      </c>
      <c r="M142" s="155">
        <f>Capacity!$Y$38</f>
        <v>121.44680851063829</v>
      </c>
      <c r="N142" s="155">
        <f>Capacity!$Z$38</f>
        <v>129.36170212765958</v>
      </c>
      <c r="O142" s="155">
        <f>Capacity!$AA$38</f>
        <v>7.914893617021292</v>
      </c>
    </row>
    <row r="143" spans="1:15" x14ac:dyDescent="0.35">
      <c r="A143" s="1" t="s">
        <v>31</v>
      </c>
      <c r="B143" s="1">
        <v>2</v>
      </c>
      <c r="C143" s="1" t="s">
        <v>41</v>
      </c>
      <c r="D143" s="1" t="s">
        <v>55</v>
      </c>
      <c r="E143" s="1">
        <f>Capacity!$F$38</f>
        <v>0</v>
      </c>
      <c r="F143" s="1">
        <f>Capacity!$J$38</f>
        <v>4</v>
      </c>
      <c r="G143" s="1">
        <f>Capacity!$K$38</f>
        <v>2</v>
      </c>
      <c r="H143" s="1" t="str">
        <f>Capacity!$L$38</f>
        <v/>
      </c>
      <c r="I143" s="1">
        <f>Capacity!$M$38</f>
        <v>1520</v>
      </c>
      <c r="J143" s="1" t="str">
        <f>Capacity!$N$38</f>
        <v/>
      </c>
      <c r="K143" s="1" t="str">
        <f>Capacity!$O$38</f>
        <v/>
      </c>
      <c r="L143" s="1" t="s">
        <v>56</v>
      </c>
      <c r="M143" s="155">
        <f>Capacity!$Y$38</f>
        <v>121.44680851063829</v>
      </c>
      <c r="N143" s="155">
        <f>Capacity!$Z$38</f>
        <v>129.36170212765958</v>
      </c>
      <c r="O143" s="155">
        <f>Capacity!$AA$38</f>
        <v>7.914893617021292</v>
      </c>
    </row>
    <row r="144" spans="1:15" x14ac:dyDescent="0.35">
      <c r="A144" s="1" t="s">
        <v>31</v>
      </c>
      <c r="B144" s="1">
        <v>2</v>
      </c>
      <c r="C144" s="1" t="s">
        <v>41</v>
      </c>
      <c r="D144" s="1" t="s">
        <v>10</v>
      </c>
      <c r="E144" s="1">
        <f>Capacity!$G$38</f>
        <v>4</v>
      </c>
      <c r="F144" s="1">
        <f>Capacity!$J$38</f>
        <v>4</v>
      </c>
      <c r="G144" s="1">
        <f>Capacity!$K$38</f>
        <v>2</v>
      </c>
      <c r="H144" s="1" t="str">
        <f>Capacity!$L$38</f>
        <v/>
      </c>
      <c r="I144" s="1">
        <f>Capacity!$M$38</f>
        <v>1520</v>
      </c>
      <c r="J144" s="1" t="str">
        <f>Capacity!$N$38</f>
        <v/>
      </c>
      <c r="K144" s="1" t="str">
        <f>Capacity!$O$38</f>
        <v/>
      </c>
      <c r="L144" s="1" t="s">
        <v>56</v>
      </c>
      <c r="M144" s="155">
        <f>Capacity!$Y$38</f>
        <v>121.44680851063829</v>
      </c>
      <c r="N144" s="155">
        <f>Capacity!$Z$38</f>
        <v>129.36170212765958</v>
      </c>
      <c r="O144" s="155">
        <f>Capacity!$AA$38</f>
        <v>7.914893617021292</v>
      </c>
    </row>
    <row r="145" spans="1:15" x14ac:dyDescent="0.35">
      <c r="A145" s="1" t="s">
        <v>31</v>
      </c>
      <c r="B145" s="1">
        <v>2</v>
      </c>
      <c r="C145" s="1" t="s">
        <v>41</v>
      </c>
      <c r="D145" s="1" t="s">
        <v>11</v>
      </c>
      <c r="E145" s="1">
        <f>Capacity!$H$38</f>
        <v>4</v>
      </c>
      <c r="F145" s="1">
        <f>Capacity!$J$38</f>
        <v>4</v>
      </c>
      <c r="G145" s="1">
        <f>Capacity!$K$38</f>
        <v>2</v>
      </c>
      <c r="H145" s="1" t="str">
        <f>Capacity!$L$38</f>
        <v/>
      </c>
      <c r="I145" s="1">
        <f>Capacity!$M$38</f>
        <v>1520</v>
      </c>
      <c r="J145" s="1" t="str">
        <f>Capacity!$N$38</f>
        <v/>
      </c>
      <c r="K145" s="1" t="str">
        <f>Capacity!$O$38</f>
        <v/>
      </c>
      <c r="L145" s="1" t="s">
        <v>56</v>
      </c>
      <c r="M145" s="155">
        <f>Capacity!$Y$38</f>
        <v>121.44680851063829</v>
      </c>
      <c r="N145" s="155">
        <f>Capacity!$Z$38</f>
        <v>129.36170212765958</v>
      </c>
      <c r="O145" s="155">
        <f>Capacity!$AA$38</f>
        <v>7.914893617021292</v>
      </c>
    </row>
    <row r="146" spans="1:15" x14ac:dyDescent="0.35">
      <c r="A146" s="1" t="s">
        <v>31</v>
      </c>
      <c r="B146" s="1">
        <v>2</v>
      </c>
      <c r="C146" s="1" t="s">
        <v>41</v>
      </c>
      <c r="D146" s="1" t="s">
        <v>12</v>
      </c>
      <c r="E146" s="1">
        <f>Capacity!$I$38</f>
        <v>4</v>
      </c>
      <c r="F146" s="1">
        <f>Capacity!$J$38</f>
        <v>4</v>
      </c>
      <c r="G146" s="1">
        <f>Capacity!$K$38</f>
        <v>2</v>
      </c>
      <c r="H146" s="1" t="str">
        <f>Capacity!$L$38</f>
        <v/>
      </c>
      <c r="I146" s="1">
        <f>Capacity!$M$38</f>
        <v>1520</v>
      </c>
      <c r="J146" s="1" t="str">
        <f>Capacity!$N$38</f>
        <v/>
      </c>
      <c r="K146" s="1" t="str">
        <f>Capacity!$O$38</f>
        <v/>
      </c>
      <c r="L146" s="1" t="s">
        <v>56</v>
      </c>
      <c r="M146" s="155">
        <f>Capacity!$Y$38</f>
        <v>121.44680851063829</v>
      </c>
      <c r="N146" s="155">
        <f>Capacity!$Z$38</f>
        <v>129.36170212765958</v>
      </c>
      <c r="O146" s="155">
        <f>Capacity!$AA$38</f>
        <v>7.914893617021292</v>
      </c>
    </row>
    <row r="147" spans="1:15" x14ac:dyDescent="0.35">
      <c r="A147" s="1" t="s">
        <v>32</v>
      </c>
      <c r="B147" s="1">
        <v>3</v>
      </c>
      <c r="C147" s="1" t="s">
        <v>41</v>
      </c>
      <c r="D147" s="1" t="s">
        <v>8</v>
      </c>
      <c r="E147" s="1">
        <f>Capacity!$E$39</f>
        <v>0</v>
      </c>
      <c r="F147" s="1">
        <f>Capacity!$J$39</f>
        <v>4.0999999999999996</v>
      </c>
      <c r="G147" s="1">
        <f>Capacity!$K$39</f>
        <v>2</v>
      </c>
      <c r="H147" s="1" t="str">
        <f>Capacity!$L$39</f>
        <v/>
      </c>
      <c r="I147" s="1">
        <f>Capacity!$M$39</f>
        <v>1557.9999999999998</v>
      </c>
      <c r="J147" s="1" t="str">
        <f>Capacity!$N$39</f>
        <v/>
      </c>
      <c r="K147" s="1" t="str">
        <f>Capacity!$O$39</f>
        <v/>
      </c>
      <c r="L147" s="1" t="s">
        <v>2</v>
      </c>
      <c r="M147" s="1">
        <f>Capacity!$P$39</f>
        <v>1564</v>
      </c>
      <c r="N147" s="1">
        <f>Capacity!$Q$39</f>
        <v>1557.9999999999998</v>
      </c>
      <c r="O147" s="1">
        <f>Capacity!$R$39</f>
        <v>-6.0000000000002274</v>
      </c>
    </row>
    <row r="148" spans="1:15" x14ac:dyDescent="0.35">
      <c r="A148" s="1" t="s">
        <v>32</v>
      </c>
      <c r="B148" s="1">
        <v>3</v>
      </c>
      <c r="C148" s="1" t="s">
        <v>41</v>
      </c>
      <c r="D148" s="1" t="s">
        <v>55</v>
      </c>
      <c r="E148" s="1">
        <f>Capacity!$F$38</f>
        <v>0</v>
      </c>
      <c r="F148" s="1">
        <f>Capacity!$J$39</f>
        <v>4.0999999999999996</v>
      </c>
      <c r="G148" s="1">
        <f>Capacity!$K$39</f>
        <v>2</v>
      </c>
      <c r="H148" s="1" t="str">
        <f>Capacity!$L$39</f>
        <v/>
      </c>
      <c r="I148" s="1">
        <f>Capacity!$M$39</f>
        <v>1557.9999999999998</v>
      </c>
      <c r="J148" s="1" t="str">
        <f>Capacity!$N$39</f>
        <v/>
      </c>
      <c r="K148" s="1" t="str">
        <f>Capacity!$O$39</f>
        <v/>
      </c>
      <c r="L148" s="1" t="s">
        <v>2</v>
      </c>
      <c r="M148" s="1">
        <f>Capacity!$P$39</f>
        <v>1564</v>
      </c>
      <c r="N148" s="1">
        <f>Capacity!$Q$39</f>
        <v>1557.9999999999998</v>
      </c>
      <c r="O148" s="1">
        <f>Capacity!$R$39</f>
        <v>-6.0000000000002274</v>
      </c>
    </row>
    <row r="149" spans="1:15" x14ac:dyDescent="0.35">
      <c r="A149" s="1" t="s">
        <v>32</v>
      </c>
      <c r="B149" s="1">
        <v>3</v>
      </c>
      <c r="C149" s="1" t="s">
        <v>41</v>
      </c>
      <c r="D149" s="1" t="s">
        <v>10</v>
      </c>
      <c r="E149" s="1">
        <f>Capacity!$G$39</f>
        <v>4.0999999999999996</v>
      </c>
      <c r="F149" s="1">
        <f>Capacity!$J$39</f>
        <v>4.0999999999999996</v>
      </c>
      <c r="G149" s="1">
        <f>Capacity!$K$39</f>
        <v>2</v>
      </c>
      <c r="H149" s="1" t="str">
        <f>Capacity!$L$39</f>
        <v/>
      </c>
      <c r="I149" s="1">
        <f>Capacity!$M$39</f>
        <v>1557.9999999999998</v>
      </c>
      <c r="J149" s="1" t="str">
        <f>Capacity!$N$39</f>
        <v/>
      </c>
      <c r="K149" s="1" t="str">
        <f>Capacity!$O$39</f>
        <v/>
      </c>
      <c r="L149" s="1" t="s">
        <v>2</v>
      </c>
      <c r="M149" s="1">
        <f>Capacity!$P$39</f>
        <v>1564</v>
      </c>
      <c r="N149" s="1">
        <f>Capacity!$Q$39</f>
        <v>1557.9999999999998</v>
      </c>
      <c r="O149" s="1">
        <f>Capacity!$R$39</f>
        <v>-6.0000000000002274</v>
      </c>
    </row>
    <row r="150" spans="1:15" x14ac:dyDescent="0.35">
      <c r="A150" s="1" t="s">
        <v>32</v>
      </c>
      <c r="B150" s="1">
        <v>3</v>
      </c>
      <c r="C150" s="1" t="s">
        <v>41</v>
      </c>
      <c r="D150" s="1" t="s">
        <v>11</v>
      </c>
      <c r="E150" s="1">
        <f>Capacity!$H$39</f>
        <v>4.0999999999999996</v>
      </c>
      <c r="F150" s="1">
        <f>Capacity!$J$39</f>
        <v>4.0999999999999996</v>
      </c>
      <c r="G150" s="1">
        <f>Capacity!$K$39</f>
        <v>2</v>
      </c>
      <c r="H150" s="1" t="str">
        <f>Capacity!$L$39</f>
        <v/>
      </c>
      <c r="I150" s="1">
        <f>Capacity!$M$39</f>
        <v>1557.9999999999998</v>
      </c>
      <c r="J150" s="1" t="str">
        <f>Capacity!$N$39</f>
        <v/>
      </c>
      <c r="K150" s="1" t="str">
        <f>Capacity!$O$39</f>
        <v/>
      </c>
      <c r="L150" s="1" t="s">
        <v>2</v>
      </c>
      <c r="M150" s="1">
        <f>Capacity!$P$39</f>
        <v>1564</v>
      </c>
      <c r="N150" s="1">
        <f>Capacity!$Q$39</f>
        <v>1557.9999999999998</v>
      </c>
      <c r="O150" s="1">
        <f>Capacity!$R$39</f>
        <v>-6.0000000000002274</v>
      </c>
    </row>
    <row r="151" spans="1:15" x14ac:dyDescent="0.35">
      <c r="A151" s="1" t="s">
        <v>32</v>
      </c>
      <c r="B151" s="1">
        <v>3</v>
      </c>
      <c r="C151" s="1" t="s">
        <v>41</v>
      </c>
      <c r="D151" s="1" t="s">
        <v>12</v>
      </c>
      <c r="E151" s="1">
        <f>Capacity!$I$39</f>
        <v>4.0999999999999996</v>
      </c>
      <c r="F151" s="1">
        <f>Capacity!$J$39</f>
        <v>4.0999999999999996</v>
      </c>
      <c r="G151" s="1">
        <f>Capacity!$K$39</f>
        <v>2</v>
      </c>
      <c r="H151" s="1" t="str">
        <f>Capacity!$L$39</f>
        <v/>
      </c>
      <c r="I151" s="1">
        <f>Capacity!$M$39</f>
        <v>1557.9999999999998</v>
      </c>
      <c r="J151" s="1" t="str">
        <f>Capacity!$N$39</f>
        <v/>
      </c>
      <c r="K151" s="1" t="str">
        <f>Capacity!$O$39</f>
        <v/>
      </c>
      <c r="L151" s="1" t="s">
        <v>2</v>
      </c>
      <c r="M151" s="1">
        <f>Capacity!$P$39</f>
        <v>1564</v>
      </c>
      <c r="N151" s="1">
        <f>Capacity!$Q$39</f>
        <v>1557.9999999999998</v>
      </c>
      <c r="O151" s="1">
        <f>Capacity!$R$39</f>
        <v>-6.0000000000002274</v>
      </c>
    </row>
    <row r="152" spans="1:15" x14ac:dyDescent="0.35">
      <c r="A152" s="1" t="s">
        <v>32</v>
      </c>
      <c r="B152" s="1">
        <v>3</v>
      </c>
      <c r="C152" s="1" t="s">
        <v>41</v>
      </c>
      <c r="D152" s="1" t="s">
        <v>8</v>
      </c>
      <c r="E152" s="1">
        <f>Capacity!$E$39</f>
        <v>0</v>
      </c>
      <c r="F152" s="1">
        <f>Capacity!$J$39</f>
        <v>4.0999999999999996</v>
      </c>
      <c r="G152" s="1">
        <f>Capacity!$K$39</f>
        <v>2</v>
      </c>
      <c r="H152" s="1" t="str">
        <f>Capacity!$L$39</f>
        <v/>
      </c>
      <c r="I152" s="1">
        <f>Capacity!$M$39</f>
        <v>1557.9999999999998</v>
      </c>
      <c r="J152" s="1" t="str">
        <f>Capacity!$N$39</f>
        <v/>
      </c>
      <c r="K152" s="1" t="str">
        <f>Capacity!$O$39</f>
        <v/>
      </c>
      <c r="L152" s="1" t="s">
        <v>3</v>
      </c>
      <c r="M152" s="152">
        <f>Capacity!$S$39</f>
        <v>8.2315789473684209</v>
      </c>
      <c r="N152" s="152">
        <f>Capacity!$T$39</f>
        <v>8.1999999999999993</v>
      </c>
      <c r="O152" s="152">
        <f>Capacity!$U$39</f>
        <v>-3.1578947368421595E-2</v>
      </c>
    </row>
    <row r="153" spans="1:15" x14ac:dyDescent="0.35">
      <c r="A153" s="1" t="s">
        <v>32</v>
      </c>
      <c r="B153" s="1">
        <v>3</v>
      </c>
      <c r="C153" s="1" t="s">
        <v>41</v>
      </c>
      <c r="D153" s="1" t="s">
        <v>55</v>
      </c>
      <c r="E153" s="1">
        <f>Capacity!$F$38</f>
        <v>0</v>
      </c>
      <c r="F153" s="1">
        <f>Capacity!$J$39</f>
        <v>4.0999999999999996</v>
      </c>
      <c r="G153" s="1">
        <f>Capacity!$K$39</f>
        <v>2</v>
      </c>
      <c r="H153" s="1" t="str">
        <f>Capacity!$L$39</f>
        <v/>
      </c>
      <c r="I153" s="1">
        <f>Capacity!$M$39</f>
        <v>1557.9999999999998</v>
      </c>
      <c r="J153" s="1" t="str">
        <f>Capacity!$N$39</f>
        <v/>
      </c>
      <c r="K153" s="1" t="str">
        <f>Capacity!$O$39</f>
        <v/>
      </c>
      <c r="L153" s="1" t="s">
        <v>3</v>
      </c>
      <c r="M153" s="152">
        <f>Capacity!$S$39</f>
        <v>8.2315789473684209</v>
      </c>
      <c r="N153" s="152">
        <f>Capacity!$T$39</f>
        <v>8.1999999999999993</v>
      </c>
      <c r="O153" s="152">
        <f>Capacity!$U$39</f>
        <v>-3.1578947368421595E-2</v>
      </c>
    </row>
    <row r="154" spans="1:15" x14ac:dyDescent="0.35">
      <c r="A154" s="1" t="s">
        <v>32</v>
      </c>
      <c r="B154" s="1">
        <v>3</v>
      </c>
      <c r="C154" s="1" t="s">
        <v>41</v>
      </c>
      <c r="D154" s="1" t="s">
        <v>10</v>
      </c>
      <c r="E154" s="1">
        <f>Capacity!$G$39</f>
        <v>4.0999999999999996</v>
      </c>
      <c r="F154" s="1">
        <f>Capacity!$J$39</f>
        <v>4.0999999999999996</v>
      </c>
      <c r="G154" s="1">
        <f>Capacity!$K$39</f>
        <v>2</v>
      </c>
      <c r="H154" s="1" t="str">
        <f>Capacity!$L$39</f>
        <v/>
      </c>
      <c r="I154" s="1">
        <f>Capacity!$M$39</f>
        <v>1557.9999999999998</v>
      </c>
      <c r="J154" s="1" t="str">
        <f>Capacity!$N$39</f>
        <v/>
      </c>
      <c r="K154" s="1" t="str">
        <f>Capacity!$O$39</f>
        <v/>
      </c>
      <c r="L154" s="1" t="s">
        <v>3</v>
      </c>
      <c r="M154" s="152">
        <f>Capacity!$S$39</f>
        <v>8.2315789473684209</v>
      </c>
      <c r="N154" s="152">
        <f>Capacity!$T$39</f>
        <v>8.1999999999999993</v>
      </c>
      <c r="O154" s="152">
        <f>Capacity!$U$39</f>
        <v>-3.1578947368421595E-2</v>
      </c>
    </row>
    <row r="155" spans="1:15" x14ac:dyDescent="0.35">
      <c r="A155" s="1" t="s">
        <v>32</v>
      </c>
      <c r="B155" s="1">
        <v>3</v>
      </c>
      <c r="C155" s="1" t="s">
        <v>41</v>
      </c>
      <c r="D155" s="1" t="s">
        <v>11</v>
      </c>
      <c r="E155" s="1">
        <f>Capacity!$H$39</f>
        <v>4.0999999999999996</v>
      </c>
      <c r="F155" s="1">
        <f>Capacity!$J$39</f>
        <v>4.0999999999999996</v>
      </c>
      <c r="G155" s="1">
        <f>Capacity!$K$39</f>
        <v>2</v>
      </c>
      <c r="H155" s="1" t="str">
        <f>Capacity!$L$39</f>
        <v/>
      </c>
      <c r="I155" s="1">
        <f>Capacity!$M$39</f>
        <v>1557.9999999999998</v>
      </c>
      <c r="J155" s="1" t="str">
        <f>Capacity!$N$39</f>
        <v/>
      </c>
      <c r="K155" s="1" t="str">
        <f>Capacity!$O$39</f>
        <v/>
      </c>
      <c r="L155" s="1" t="s">
        <v>3</v>
      </c>
      <c r="M155" s="152">
        <f>Capacity!$S$39</f>
        <v>8.2315789473684209</v>
      </c>
      <c r="N155" s="152">
        <f>Capacity!$T$39</f>
        <v>8.1999999999999993</v>
      </c>
      <c r="O155" s="152">
        <f>Capacity!$U$39</f>
        <v>-3.1578947368421595E-2</v>
      </c>
    </row>
    <row r="156" spans="1:15" x14ac:dyDescent="0.35">
      <c r="A156" s="1" t="s">
        <v>32</v>
      </c>
      <c r="B156" s="1">
        <v>3</v>
      </c>
      <c r="C156" s="1" t="s">
        <v>41</v>
      </c>
      <c r="D156" s="1" t="s">
        <v>12</v>
      </c>
      <c r="E156" s="1">
        <f>Capacity!$I$39</f>
        <v>4.0999999999999996</v>
      </c>
      <c r="F156" s="1">
        <f>Capacity!$J$39</f>
        <v>4.0999999999999996</v>
      </c>
      <c r="G156" s="1">
        <f>Capacity!$K$39</f>
        <v>2</v>
      </c>
      <c r="H156" s="1" t="str">
        <f>Capacity!$L$39</f>
        <v/>
      </c>
      <c r="I156" s="1">
        <f>Capacity!$M$39</f>
        <v>1557.9999999999998</v>
      </c>
      <c r="J156" s="1" t="str">
        <f>Capacity!$N$39</f>
        <v/>
      </c>
      <c r="K156" s="1" t="str">
        <f>Capacity!$O$39</f>
        <v/>
      </c>
      <c r="L156" s="1" t="s">
        <v>3</v>
      </c>
      <c r="M156" s="152">
        <f>Capacity!$S$39</f>
        <v>8.2315789473684209</v>
      </c>
      <c r="N156" s="152">
        <f>Capacity!$T$39</f>
        <v>8.1999999999999993</v>
      </c>
      <c r="O156" s="152">
        <f>Capacity!$U$39</f>
        <v>-3.1578947368421595E-2</v>
      </c>
    </row>
    <row r="157" spans="1:15" x14ac:dyDescent="0.35">
      <c r="A157" s="1" t="s">
        <v>32</v>
      </c>
      <c r="B157" s="1">
        <v>3</v>
      </c>
      <c r="C157" s="1" t="s">
        <v>41</v>
      </c>
      <c r="D157" s="1" t="s">
        <v>8</v>
      </c>
      <c r="E157" s="1">
        <f>Capacity!$E$39</f>
        <v>0</v>
      </c>
      <c r="F157" s="1">
        <f>Capacity!$J$39</f>
        <v>4.0999999999999996</v>
      </c>
      <c r="G157" s="1">
        <f>Capacity!$K$39</f>
        <v>2</v>
      </c>
      <c r="H157" s="1" t="str">
        <f>Capacity!$L$39</f>
        <v/>
      </c>
      <c r="I157" s="1">
        <f>Capacity!$M$39</f>
        <v>1557.9999999999998</v>
      </c>
      <c r="J157" s="1" t="str">
        <f>Capacity!$N$39</f>
        <v/>
      </c>
      <c r="K157" s="1" t="str">
        <f>Capacity!$O$39</f>
        <v/>
      </c>
      <c r="L157" s="1" t="s">
        <v>4</v>
      </c>
      <c r="M157" s="152">
        <f>Capacity!$V$39</f>
        <v>4.1157894736842104</v>
      </c>
      <c r="N157" s="152">
        <f>Capacity!$W$39</f>
        <v>4.0999999999999996</v>
      </c>
      <c r="O157" s="152">
        <f>Capacity!$X$39</f>
        <v>-1.5789473684210797E-2</v>
      </c>
    </row>
    <row r="158" spans="1:15" x14ac:dyDescent="0.35">
      <c r="A158" s="1" t="s">
        <v>32</v>
      </c>
      <c r="B158" s="1">
        <v>3</v>
      </c>
      <c r="C158" s="1" t="s">
        <v>41</v>
      </c>
      <c r="D158" s="1" t="s">
        <v>55</v>
      </c>
      <c r="E158" s="1">
        <f>Capacity!$F$38</f>
        <v>0</v>
      </c>
      <c r="F158" s="1">
        <f>Capacity!$J$39</f>
        <v>4.0999999999999996</v>
      </c>
      <c r="G158" s="1">
        <f>Capacity!$K$39</f>
        <v>2</v>
      </c>
      <c r="H158" s="1" t="str">
        <f>Capacity!$L$39</f>
        <v/>
      </c>
      <c r="I158" s="1">
        <f>Capacity!$M$39</f>
        <v>1557.9999999999998</v>
      </c>
      <c r="J158" s="1" t="str">
        <f>Capacity!$N$39</f>
        <v/>
      </c>
      <c r="K158" s="1" t="str">
        <f>Capacity!$O$39</f>
        <v/>
      </c>
      <c r="L158" s="1" t="s">
        <v>4</v>
      </c>
      <c r="M158" s="152">
        <f>Capacity!$V$39</f>
        <v>4.1157894736842104</v>
      </c>
      <c r="N158" s="152">
        <f>Capacity!$W$39</f>
        <v>4.0999999999999996</v>
      </c>
      <c r="O158" s="152">
        <f>Capacity!$X$39</f>
        <v>-1.5789473684210797E-2</v>
      </c>
    </row>
    <row r="159" spans="1:15" x14ac:dyDescent="0.35">
      <c r="A159" s="1" t="s">
        <v>32</v>
      </c>
      <c r="B159" s="1">
        <v>3</v>
      </c>
      <c r="C159" s="1" t="s">
        <v>41</v>
      </c>
      <c r="D159" s="1" t="s">
        <v>10</v>
      </c>
      <c r="E159" s="1">
        <f>Capacity!$G$39</f>
        <v>4.0999999999999996</v>
      </c>
      <c r="F159" s="1">
        <f>Capacity!$J$39</f>
        <v>4.0999999999999996</v>
      </c>
      <c r="G159" s="1">
        <f>Capacity!$K$39</f>
        <v>2</v>
      </c>
      <c r="H159" s="1" t="str">
        <f>Capacity!$L$39</f>
        <v/>
      </c>
      <c r="I159" s="1">
        <f>Capacity!$M$39</f>
        <v>1557.9999999999998</v>
      </c>
      <c r="J159" s="1" t="str">
        <f>Capacity!$N$39</f>
        <v/>
      </c>
      <c r="K159" s="1" t="str">
        <f>Capacity!$O$39</f>
        <v/>
      </c>
      <c r="L159" s="1" t="s">
        <v>4</v>
      </c>
      <c r="M159" s="152">
        <f>Capacity!$V$39</f>
        <v>4.1157894736842104</v>
      </c>
      <c r="N159" s="152">
        <f>Capacity!$W$39</f>
        <v>4.0999999999999996</v>
      </c>
      <c r="O159" s="152">
        <f>Capacity!$X$39</f>
        <v>-1.5789473684210797E-2</v>
      </c>
    </row>
    <row r="160" spans="1:15" x14ac:dyDescent="0.35">
      <c r="A160" s="1" t="s">
        <v>32</v>
      </c>
      <c r="B160" s="1">
        <v>3</v>
      </c>
      <c r="C160" s="1" t="s">
        <v>41</v>
      </c>
      <c r="D160" s="1" t="s">
        <v>11</v>
      </c>
      <c r="E160" s="1">
        <f>Capacity!$H$39</f>
        <v>4.0999999999999996</v>
      </c>
      <c r="F160" s="1">
        <f>Capacity!$J$39</f>
        <v>4.0999999999999996</v>
      </c>
      <c r="G160" s="1">
        <f>Capacity!$K$39</f>
        <v>2</v>
      </c>
      <c r="H160" s="1" t="str">
        <f>Capacity!$L$39</f>
        <v/>
      </c>
      <c r="I160" s="1">
        <f>Capacity!$M$39</f>
        <v>1557.9999999999998</v>
      </c>
      <c r="J160" s="1" t="str">
        <f>Capacity!$N$39</f>
        <v/>
      </c>
      <c r="K160" s="1" t="str">
        <f>Capacity!$O$39</f>
        <v/>
      </c>
      <c r="L160" s="1" t="s">
        <v>4</v>
      </c>
      <c r="M160" s="152">
        <f>Capacity!$V$39</f>
        <v>4.1157894736842104</v>
      </c>
      <c r="N160" s="152">
        <f>Capacity!$W$39</f>
        <v>4.0999999999999996</v>
      </c>
      <c r="O160" s="152">
        <f>Capacity!$X$39</f>
        <v>-1.5789473684210797E-2</v>
      </c>
    </row>
    <row r="161" spans="1:15" x14ac:dyDescent="0.35">
      <c r="A161" s="1" t="s">
        <v>32</v>
      </c>
      <c r="B161" s="1">
        <v>3</v>
      </c>
      <c r="C161" s="1" t="s">
        <v>41</v>
      </c>
      <c r="D161" s="1" t="s">
        <v>12</v>
      </c>
      <c r="E161" s="1">
        <f>Capacity!$I$39</f>
        <v>4.0999999999999996</v>
      </c>
      <c r="F161" s="1">
        <f>Capacity!$J$39</f>
        <v>4.0999999999999996</v>
      </c>
      <c r="G161" s="1">
        <f>Capacity!$K$39</f>
        <v>2</v>
      </c>
      <c r="H161" s="1" t="str">
        <f>Capacity!$L$39</f>
        <v/>
      </c>
      <c r="I161" s="1">
        <f>Capacity!$M$39</f>
        <v>1557.9999999999998</v>
      </c>
      <c r="J161" s="1" t="str">
        <f>Capacity!$N$39</f>
        <v/>
      </c>
      <c r="K161" s="1" t="str">
        <f>Capacity!$O$39</f>
        <v/>
      </c>
      <c r="L161" s="1" t="s">
        <v>4</v>
      </c>
      <c r="M161" s="152">
        <f>Capacity!$V$39</f>
        <v>4.1157894736842104</v>
      </c>
      <c r="N161" s="152">
        <f>Capacity!$W$39</f>
        <v>4.0999999999999996</v>
      </c>
      <c r="O161" s="152">
        <f>Capacity!$X$39</f>
        <v>-1.5789473684210797E-2</v>
      </c>
    </row>
    <row r="162" spans="1:15" x14ac:dyDescent="0.35">
      <c r="A162" s="1" t="s">
        <v>32</v>
      </c>
      <c r="B162" s="1">
        <v>3</v>
      </c>
      <c r="C162" s="1" t="s">
        <v>41</v>
      </c>
      <c r="D162" s="1" t="s">
        <v>8</v>
      </c>
      <c r="E162" s="1">
        <f>Capacity!$E$39</f>
        <v>0</v>
      </c>
      <c r="F162" s="1">
        <f>Capacity!$J$39</f>
        <v>4.0999999999999996</v>
      </c>
      <c r="G162" s="1">
        <f>Capacity!$K$39</f>
        <v>2</v>
      </c>
      <c r="H162" s="1" t="str">
        <f>Capacity!$L$39</f>
        <v/>
      </c>
      <c r="I162" s="1">
        <f>Capacity!$M$39</f>
        <v>1557.9999999999998</v>
      </c>
      <c r="J162" s="1" t="str">
        <f>Capacity!$N$39</f>
        <v/>
      </c>
      <c r="K162" s="1" t="str">
        <f>Capacity!$O$39</f>
        <v/>
      </c>
      <c r="L162" s="1" t="s">
        <v>56</v>
      </c>
      <c r="M162" s="152">
        <f>Capacity!$Y$39</f>
        <v>133.10638297872342</v>
      </c>
      <c r="N162" s="152">
        <f>Capacity!$Z$39</f>
        <v>132.59574468085106</v>
      </c>
      <c r="O162" s="152">
        <f>Capacity!$AA$39</f>
        <v>-0.51063829787236159</v>
      </c>
    </row>
    <row r="163" spans="1:15" x14ac:dyDescent="0.35">
      <c r="A163" s="1" t="s">
        <v>32</v>
      </c>
      <c r="B163" s="1">
        <v>3</v>
      </c>
      <c r="C163" s="1" t="s">
        <v>41</v>
      </c>
      <c r="D163" s="1" t="s">
        <v>55</v>
      </c>
      <c r="E163" s="1">
        <f>Capacity!$F$38</f>
        <v>0</v>
      </c>
      <c r="F163" s="1">
        <f>Capacity!$J$39</f>
        <v>4.0999999999999996</v>
      </c>
      <c r="G163" s="1">
        <f>Capacity!$K$39</f>
        <v>2</v>
      </c>
      <c r="H163" s="1" t="str">
        <f>Capacity!$L$39</f>
        <v/>
      </c>
      <c r="I163" s="1">
        <f>Capacity!$M$39</f>
        <v>1557.9999999999998</v>
      </c>
      <c r="J163" s="1" t="str">
        <f>Capacity!$N$39</f>
        <v/>
      </c>
      <c r="K163" s="1" t="str">
        <f>Capacity!$O$39</f>
        <v/>
      </c>
      <c r="L163" s="1" t="s">
        <v>56</v>
      </c>
      <c r="M163" s="152">
        <f>Capacity!$Y$39</f>
        <v>133.10638297872342</v>
      </c>
      <c r="N163" s="152">
        <f>Capacity!$Z$39</f>
        <v>132.59574468085106</v>
      </c>
      <c r="O163" s="152">
        <f>Capacity!$AA$39</f>
        <v>-0.51063829787236159</v>
      </c>
    </row>
    <row r="164" spans="1:15" x14ac:dyDescent="0.35">
      <c r="A164" s="1" t="s">
        <v>32</v>
      </c>
      <c r="B164" s="1">
        <v>3</v>
      </c>
      <c r="C164" s="1" t="s">
        <v>41</v>
      </c>
      <c r="D164" s="1" t="s">
        <v>10</v>
      </c>
      <c r="E164" s="1">
        <f>Capacity!$G$39</f>
        <v>4.0999999999999996</v>
      </c>
      <c r="F164" s="1">
        <f>Capacity!$J$39</f>
        <v>4.0999999999999996</v>
      </c>
      <c r="G164" s="1">
        <f>Capacity!$K$39</f>
        <v>2</v>
      </c>
      <c r="H164" s="1" t="str">
        <f>Capacity!$L$39</f>
        <v/>
      </c>
      <c r="I164" s="1">
        <f>Capacity!$M$39</f>
        <v>1557.9999999999998</v>
      </c>
      <c r="J164" s="1" t="str">
        <f>Capacity!$N$39</f>
        <v/>
      </c>
      <c r="K164" s="1" t="str">
        <f>Capacity!$O$39</f>
        <v/>
      </c>
      <c r="L164" s="1" t="s">
        <v>56</v>
      </c>
      <c r="M164" s="152">
        <f>Capacity!$Y$39</f>
        <v>133.10638297872342</v>
      </c>
      <c r="N164" s="152">
        <f>Capacity!$Z$39</f>
        <v>132.59574468085106</v>
      </c>
      <c r="O164" s="152">
        <f>Capacity!$AA$39</f>
        <v>-0.51063829787236159</v>
      </c>
    </row>
    <row r="165" spans="1:15" x14ac:dyDescent="0.35">
      <c r="A165" s="1" t="s">
        <v>32</v>
      </c>
      <c r="B165" s="1">
        <v>3</v>
      </c>
      <c r="C165" s="1" t="s">
        <v>41</v>
      </c>
      <c r="D165" s="1" t="s">
        <v>11</v>
      </c>
      <c r="E165" s="1">
        <f>Capacity!$H$39</f>
        <v>4.0999999999999996</v>
      </c>
      <c r="F165" s="1">
        <f>Capacity!$J$39</f>
        <v>4.0999999999999996</v>
      </c>
      <c r="G165" s="1">
        <f>Capacity!$K$39</f>
        <v>2</v>
      </c>
      <c r="H165" s="1" t="str">
        <f>Capacity!$L$39</f>
        <v/>
      </c>
      <c r="I165" s="1">
        <f>Capacity!$M$39</f>
        <v>1557.9999999999998</v>
      </c>
      <c r="J165" s="1" t="str">
        <f>Capacity!$N$39</f>
        <v/>
      </c>
      <c r="K165" s="1" t="str">
        <f>Capacity!$O$39</f>
        <v/>
      </c>
      <c r="L165" s="1" t="s">
        <v>56</v>
      </c>
      <c r="M165" s="152">
        <f>Capacity!$Y$39</f>
        <v>133.10638297872342</v>
      </c>
      <c r="N165" s="152">
        <f>Capacity!$Z$39</f>
        <v>132.59574468085106</v>
      </c>
      <c r="O165" s="152">
        <f>Capacity!$AA$39</f>
        <v>-0.51063829787236159</v>
      </c>
    </row>
    <row r="166" spans="1:15" x14ac:dyDescent="0.35">
      <c r="A166" s="1" t="s">
        <v>32</v>
      </c>
      <c r="B166" s="1">
        <v>3</v>
      </c>
      <c r="C166" s="1" t="s">
        <v>41</v>
      </c>
      <c r="D166" s="1" t="s">
        <v>12</v>
      </c>
      <c r="E166" s="1">
        <f>Capacity!$I$39</f>
        <v>4.0999999999999996</v>
      </c>
      <c r="F166" s="1">
        <f>Capacity!$J$39</f>
        <v>4.0999999999999996</v>
      </c>
      <c r="G166" s="1">
        <f>Capacity!$K$39</f>
        <v>2</v>
      </c>
      <c r="H166" s="1" t="str">
        <f>Capacity!$L$39</f>
        <v/>
      </c>
      <c r="I166" s="1">
        <f>Capacity!$M$39</f>
        <v>1557.9999999999998</v>
      </c>
      <c r="J166" s="1" t="str">
        <f>Capacity!$N$39</f>
        <v/>
      </c>
      <c r="K166" s="1" t="str">
        <f>Capacity!$O$39</f>
        <v/>
      </c>
      <c r="L166" s="1" t="s">
        <v>56</v>
      </c>
      <c r="M166" s="152">
        <f>Capacity!$Y$39</f>
        <v>133.10638297872342</v>
      </c>
      <c r="N166" s="152">
        <f>Capacity!$Z$39</f>
        <v>132.59574468085106</v>
      </c>
      <c r="O166" s="152">
        <f>Capacity!$AA$39</f>
        <v>-0.51063829787236159</v>
      </c>
    </row>
    <row r="167" spans="1:15" x14ac:dyDescent="0.35">
      <c r="A167" s="1" t="s">
        <v>33</v>
      </c>
      <c r="B167" s="1">
        <v>4</v>
      </c>
      <c r="C167" s="1" t="s">
        <v>41</v>
      </c>
      <c r="D167" s="1" t="s">
        <v>8</v>
      </c>
      <c r="E167" s="1">
        <f>Capacity!$E$40</f>
        <v>0</v>
      </c>
      <c r="F167" s="1">
        <f>Capacity!$J$40</f>
        <v>4</v>
      </c>
      <c r="G167" s="1">
        <f>Capacity!$K$40</f>
        <v>3</v>
      </c>
      <c r="H167" s="1" t="str">
        <f>Capacity!$L$40</f>
        <v/>
      </c>
      <c r="I167" s="1" t="str">
        <f>Capacity!$M$40</f>
        <v/>
      </c>
      <c r="J167" s="1">
        <f>Capacity!$N$40</f>
        <v>1800</v>
      </c>
      <c r="K167" s="1" t="str">
        <f>Capacity!$O$40</f>
        <v/>
      </c>
      <c r="L167" s="1" t="s">
        <v>2</v>
      </c>
      <c r="M167" s="1">
        <f>Capacity!$P$40</f>
        <v>1663</v>
      </c>
      <c r="N167" s="1">
        <f>Capacity!$Q$40</f>
        <v>1800</v>
      </c>
      <c r="O167" s="1">
        <f>Capacity!$R$40</f>
        <v>137</v>
      </c>
    </row>
    <row r="168" spans="1:15" x14ac:dyDescent="0.35">
      <c r="A168" s="1" t="s">
        <v>33</v>
      </c>
      <c r="B168" s="1">
        <v>4</v>
      </c>
      <c r="C168" s="1" t="s">
        <v>41</v>
      </c>
      <c r="D168" s="1" t="s">
        <v>55</v>
      </c>
      <c r="E168" s="1">
        <f>Capacity!$F$40</f>
        <v>0</v>
      </c>
      <c r="F168" s="1">
        <f>Capacity!$J$40</f>
        <v>4</v>
      </c>
      <c r="G168" s="1">
        <f>Capacity!$K$40</f>
        <v>3</v>
      </c>
      <c r="H168" s="1" t="str">
        <f>Capacity!$L$40</f>
        <v/>
      </c>
      <c r="I168" s="1" t="str">
        <f>Capacity!$M$40</f>
        <v/>
      </c>
      <c r="J168" s="1">
        <f>Capacity!$N$40</f>
        <v>1800</v>
      </c>
      <c r="K168" s="1" t="str">
        <f>Capacity!$O$40</f>
        <v/>
      </c>
      <c r="L168" s="1" t="s">
        <v>2</v>
      </c>
      <c r="M168" s="1">
        <f>Capacity!$P$40</f>
        <v>1663</v>
      </c>
      <c r="N168" s="1">
        <f>Capacity!$Q$40</f>
        <v>1800</v>
      </c>
      <c r="O168" s="1">
        <f>Capacity!$R$40</f>
        <v>137</v>
      </c>
    </row>
    <row r="169" spans="1:15" x14ac:dyDescent="0.35">
      <c r="A169" s="1" t="s">
        <v>33</v>
      </c>
      <c r="B169" s="1">
        <v>4</v>
      </c>
      <c r="C169" s="1" t="s">
        <v>41</v>
      </c>
      <c r="D169" s="1" t="s">
        <v>10</v>
      </c>
      <c r="E169" s="1">
        <f>Capacity!$G$40</f>
        <v>4</v>
      </c>
      <c r="F169" s="1">
        <f>Capacity!$J$40</f>
        <v>4</v>
      </c>
      <c r="G169" s="1">
        <f>Capacity!$K$40</f>
        <v>3</v>
      </c>
      <c r="H169" s="1" t="str">
        <f>Capacity!$L$40</f>
        <v/>
      </c>
      <c r="I169" s="1" t="str">
        <f>Capacity!$M$40</f>
        <v/>
      </c>
      <c r="J169" s="1">
        <f>Capacity!$N$40</f>
        <v>1800</v>
      </c>
      <c r="K169" s="1" t="str">
        <f>Capacity!$O$40</f>
        <v/>
      </c>
      <c r="L169" s="1" t="s">
        <v>2</v>
      </c>
      <c r="M169" s="1">
        <f>Capacity!$P$40</f>
        <v>1663</v>
      </c>
      <c r="N169" s="1">
        <f>Capacity!$Q$40</f>
        <v>1800</v>
      </c>
      <c r="O169" s="1">
        <f>Capacity!$R$40</f>
        <v>137</v>
      </c>
    </row>
    <row r="170" spans="1:15" x14ac:dyDescent="0.35">
      <c r="A170" s="1" t="s">
        <v>33</v>
      </c>
      <c r="B170" s="1">
        <v>4</v>
      </c>
      <c r="C170" s="1" t="s">
        <v>41</v>
      </c>
      <c r="D170" s="1" t="s">
        <v>11</v>
      </c>
      <c r="E170" s="1">
        <f>Capacity!$H$40</f>
        <v>4</v>
      </c>
      <c r="F170" s="1">
        <f>Capacity!$J$40</f>
        <v>4</v>
      </c>
      <c r="G170" s="1">
        <f>Capacity!$K$40</f>
        <v>3</v>
      </c>
      <c r="H170" s="1" t="str">
        <f>Capacity!$L$40</f>
        <v/>
      </c>
      <c r="I170" s="1" t="str">
        <f>Capacity!$M$40</f>
        <v/>
      </c>
      <c r="J170" s="1">
        <f>Capacity!$N$40</f>
        <v>1800</v>
      </c>
      <c r="K170" s="1" t="str">
        <f>Capacity!$O$40</f>
        <v/>
      </c>
      <c r="L170" s="1" t="s">
        <v>2</v>
      </c>
      <c r="M170" s="1">
        <f>Capacity!$P$40</f>
        <v>1663</v>
      </c>
      <c r="N170" s="1">
        <f>Capacity!$Q$40</f>
        <v>1800</v>
      </c>
      <c r="O170" s="1">
        <f>Capacity!$R$40</f>
        <v>137</v>
      </c>
    </row>
    <row r="171" spans="1:15" x14ac:dyDescent="0.35">
      <c r="A171" s="1" t="s">
        <v>33</v>
      </c>
      <c r="B171" s="1">
        <v>4</v>
      </c>
      <c r="C171" s="1" t="s">
        <v>41</v>
      </c>
      <c r="D171" s="1" t="s">
        <v>12</v>
      </c>
      <c r="E171" s="1">
        <f>Capacity!$I$40</f>
        <v>4</v>
      </c>
      <c r="F171" s="1">
        <f>Capacity!$J$40</f>
        <v>4</v>
      </c>
      <c r="G171" s="1">
        <f>Capacity!$K$40</f>
        <v>3</v>
      </c>
      <c r="H171" s="1" t="str">
        <f>Capacity!$L$40</f>
        <v/>
      </c>
      <c r="I171" s="1" t="str">
        <f>Capacity!$M$40</f>
        <v/>
      </c>
      <c r="J171" s="1">
        <f>Capacity!$N$40</f>
        <v>1800</v>
      </c>
      <c r="K171" s="1" t="str">
        <f>Capacity!$O$40</f>
        <v/>
      </c>
      <c r="L171" s="1" t="s">
        <v>2</v>
      </c>
      <c r="M171" s="1">
        <f>Capacity!$P$40</f>
        <v>1663</v>
      </c>
      <c r="N171" s="1">
        <f>Capacity!$Q$40</f>
        <v>1800</v>
      </c>
      <c r="O171" s="1">
        <f>Capacity!$R$40</f>
        <v>137</v>
      </c>
    </row>
    <row r="172" spans="1:15" x14ac:dyDescent="0.35">
      <c r="A172" s="1" t="s">
        <v>33</v>
      </c>
      <c r="B172" s="1">
        <v>4</v>
      </c>
      <c r="C172" s="1" t="s">
        <v>41</v>
      </c>
      <c r="D172" s="1" t="s">
        <v>8</v>
      </c>
      <c r="E172" s="1">
        <f>Capacity!$E$40</f>
        <v>0</v>
      </c>
      <c r="F172" s="1">
        <f>Capacity!$J$40</f>
        <v>4</v>
      </c>
      <c r="G172" s="1">
        <f>Capacity!$K$40</f>
        <v>3</v>
      </c>
      <c r="H172" s="1" t="str">
        <f>Capacity!$L$40</f>
        <v/>
      </c>
      <c r="I172" s="1" t="str">
        <f>Capacity!$M$40</f>
        <v/>
      </c>
      <c r="J172" s="1">
        <f>Capacity!$N$40</f>
        <v>1800</v>
      </c>
      <c r="K172" s="1" t="str">
        <f>Capacity!$O$40</f>
        <v/>
      </c>
      <c r="L172" s="1" t="s">
        <v>3</v>
      </c>
      <c r="M172" s="155">
        <f>Capacity!$S$40</f>
        <v>7.391111111111111</v>
      </c>
      <c r="N172" s="155">
        <f>Capacity!$T$40</f>
        <v>8</v>
      </c>
      <c r="O172" s="155">
        <f>Capacity!$U$40</f>
        <v>0.60888888888888903</v>
      </c>
    </row>
    <row r="173" spans="1:15" x14ac:dyDescent="0.35">
      <c r="A173" s="1" t="s">
        <v>33</v>
      </c>
      <c r="B173" s="1">
        <v>4</v>
      </c>
      <c r="C173" s="1" t="s">
        <v>41</v>
      </c>
      <c r="D173" s="1" t="s">
        <v>55</v>
      </c>
      <c r="E173" s="1">
        <f>Capacity!$F$40</f>
        <v>0</v>
      </c>
      <c r="F173" s="1">
        <f>Capacity!$J$40</f>
        <v>4</v>
      </c>
      <c r="G173" s="1">
        <f>Capacity!$K$40</f>
        <v>3</v>
      </c>
      <c r="H173" s="1" t="str">
        <f>Capacity!$L$40</f>
        <v/>
      </c>
      <c r="I173" s="1" t="str">
        <f>Capacity!$M$40</f>
        <v/>
      </c>
      <c r="J173" s="1">
        <f>Capacity!$N$40</f>
        <v>1800</v>
      </c>
      <c r="K173" s="1" t="str">
        <f>Capacity!$O$40</f>
        <v/>
      </c>
      <c r="L173" s="1" t="s">
        <v>3</v>
      </c>
      <c r="M173" s="155">
        <f>Capacity!$S$40</f>
        <v>7.391111111111111</v>
      </c>
      <c r="N173" s="155">
        <f>Capacity!$T$40</f>
        <v>8</v>
      </c>
      <c r="O173" s="155">
        <f>Capacity!$U$40</f>
        <v>0.60888888888888903</v>
      </c>
    </row>
    <row r="174" spans="1:15" x14ac:dyDescent="0.35">
      <c r="A174" s="1" t="s">
        <v>33</v>
      </c>
      <c r="B174" s="1">
        <v>4</v>
      </c>
      <c r="C174" s="1" t="s">
        <v>41</v>
      </c>
      <c r="D174" s="1" t="s">
        <v>10</v>
      </c>
      <c r="E174" s="1">
        <f>Capacity!$G$40</f>
        <v>4</v>
      </c>
      <c r="F174" s="1">
        <f>Capacity!$J$40</f>
        <v>4</v>
      </c>
      <c r="G174" s="1">
        <f>Capacity!$K$40</f>
        <v>3</v>
      </c>
      <c r="H174" s="1" t="str">
        <f>Capacity!$L$40</f>
        <v/>
      </c>
      <c r="I174" s="1" t="str">
        <f>Capacity!$M$40</f>
        <v/>
      </c>
      <c r="J174" s="1">
        <f>Capacity!$N$40</f>
        <v>1800</v>
      </c>
      <c r="K174" s="1" t="str">
        <f>Capacity!$O$40</f>
        <v/>
      </c>
      <c r="L174" s="1" t="s">
        <v>3</v>
      </c>
      <c r="M174" s="155">
        <f>Capacity!$S$40</f>
        <v>7.391111111111111</v>
      </c>
      <c r="N174" s="155">
        <f>Capacity!$T$40</f>
        <v>8</v>
      </c>
      <c r="O174" s="155">
        <f>Capacity!$U$40</f>
        <v>0.60888888888888903</v>
      </c>
    </row>
    <row r="175" spans="1:15" x14ac:dyDescent="0.35">
      <c r="A175" s="1" t="s">
        <v>33</v>
      </c>
      <c r="B175" s="1">
        <v>4</v>
      </c>
      <c r="C175" s="1" t="s">
        <v>41</v>
      </c>
      <c r="D175" s="1" t="s">
        <v>11</v>
      </c>
      <c r="E175" s="1">
        <f>Capacity!$H$40</f>
        <v>4</v>
      </c>
      <c r="F175" s="1">
        <f>Capacity!$J$40</f>
        <v>4</v>
      </c>
      <c r="G175" s="1">
        <f>Capacity!$K$40</f>
        <v>3</v>
      </c>
      <c r="H175" s="1" t="str">
        <f>Capacity!$L$40</f>
        <v/>
      </c>
      <c r="I175" s="1" t="str">
        <f>Capacity!$M$40</f>
        <v/>
      </c>
      <c r="J175" s="1">
        <f>Capacity!$N$40</f>
        <v>1800</v>
      </c>
      <c r="K175" s="1" t="str">
        <f>Capacity!$O$40</f>
        <v/>
      </c>
      <c r="L175" s="1" t="s">
        <v>3</v>
      </c>
      <c r="M175" s="155">
        <f>Capacity!$S$40</f>
        <v>7.391111111111111</v>
      </c>
      <c r="N175" s="155">
        <f>Capacity!$T$40</f>
        <v>8</v>
      </c>
      <c r="O175" s="155">
        <f>Capacity!$U$40</f>
        <v>0.60888888888888903</v>
      </c>
    </row>
    <row r="176" spans="1:15" x14ac:dyDescent="0.35">
      <c r="A176" s="1" t="s">
        <v>33</v>
      </c>
      <c r="B176" s="1">
        <v>4</v>
      </c>
      <c r="C176" s="1" t="s">
        <v>41</v>
      </c>
      <c r="D176" s="1" t="s">
        <v>12</v>
      </c>
      <c r="E176" s="1">
        <f>Capacity!$I$40</f>
        <v>4</v>
      </c>
      <c r="F176" s="1">
        <f>Capacity!$J$40</f>
        <v>4</v>
      </c>
      <c r="G176" s="1">
        <f>Capacity!$K$40</f>
        <v>3</v>
      </c>
      <c r="H176" s="1" t="str">
        <f>Capacity!$L$40</f>
        <v/>
      </c>
      <c r="I176" s="1" t="str">
        <f>Capacity!$M$40</f>
        <v/>
      </c>
      <c r="J176" s="1">
        <f>Capacity!$N$40</f>
        <v>1800</v>
      </c>
      <c r="K176" s="1" t="str">
        <f>Capacity!$O$40</f>
        <v/>
      </c>
      <c r="L176" s="1" t="s">
        <v>3</v>
      </c>
      <c r="M176" s="155">
        <f>Capacity!$S$40</f>
        <v>7.391111111111111</v>
      </c>
      <c r="N176" s="155">
        <f>Capacity!$T$40</f>
        <v>8</v>
      </c>
      <c r="O176" s="155">
        <f>Capacity!$U$40</f>
        <v>0.60888888888888903</v>
      </c>
    </row>
    <row r="177" spans="1:15" x14ac:dyDescent="0.35">
      <c r="A177" s="1" t="s">
        <v>33</v>
      </c>
      <c r="B177" s="1">
        <v>4</v>
      </c>
      <c r="C177" s="1" t="s">
        <v>41</v>
      </c>
      <c r="D177" s="1" t="s">
        <v>8</v>
      </c>
      <c r="E177" s="1">
        <f>Capacity!$E$40</f>
        <v>0</v>
      </c>
      <c r="F177" s="1">
        <f>Capacity!$J$40</f>
        <v>4</v>
      </c>
      <c r="G177" s="1">
        <f>Capacity!$K$40</f>
        <v>3</v>
      </c>
      <c r="H177" s="1" t="str">
        <f>Capacity!$L$40</f>
        <v/>
      </c>
      <c r="I177" s="1" t="str">
        <f>Capacity!$M$40</f>
        <v/>
      </c>
      <c r="J177" s="1">
        <f>Capacity!$N$40</f>
        <v>1800</v>
      </c>
      <c r="K177" s="1" t="str">
        <f>Capacity!$O$40</f>
        <v/>
      </c>
      <c r="L177" s="1" t="s">
        <v>4</v>
      </c>
      <c r="M177" s="152">
        <f>Capacity!$V$40</f>
        <v>3.6955555555555555</v>
      </c>
      <c r="N177" s="152">
        <f>Capacity!$W$40</f>
        <v>4</v>
      </c>
      <c r="O177" s="152">
        <f>Capacity!$X$40</f>
        <v>0.30444444444444452</v>
      </c>
    </row>
    <row r="178" spans="1:15" x14ac:dyDescent="0.35">
      <c r="A178" s="1" t="s">
        <v>33</v>
      </c>
      <c r="B178" s="1">
        <v>4</v>
      </c>
      <c r="C178" s="1" t="s">
        <v>41</v>
      </c>
      <c r="D178" s="1" t="s">
        <v>55</v>
      </c>
      <c r="E178" s="1">
        <f>Capacity!$F$40</f>
        <v>0</v>
      </c>
      <c r="F178" s="1">
        <f>Capacity!$J$40</f>
        <v>4</v>
      </c>
      <c r="G178" s="1">
        <f>Capacity!$K$40</f>
        <v>3</v>
      </c>
      <c r="H178" s="1" t="str">
        <f>Capacity!$L$40</f>
        <v/>
      </c>
      <c r="I178" s="1" t="str">
        <f>Capacity!$M$40</f>
        <v/>
      </c>
      <c r="J178" s="1">
        <f>Capacity!$N$40</f>
        <v>1800</v>
      </c>
      <c r="K178" s="1" t="str">
        <f>Capacity!$O$40</f>
        <v/>
      </c>
      <c r="L178" s="1" t="s">
        <v>4</v>
      </c>
      <c r="M178" s="152">
        <f>Capacity!$V$40</f>
        <v>3.6955555555555555</v>
      </c>
      <c r="N178" s="152">
        <f>Capacity!$W$40</f>
        <v>4</v>
      </c>
      <c r="O178" s="152">
        <f>Capacity!$X$40</f>
        <v>0.30444444444444452</v>
      </c>
    </row>
    <row r="179" spans="1:15" x14ac:dyDescent="0.35">
      <c r="A179" s="1" t="s">
        <v>33</v>
      </c>
      <c r="B179" s="1">
        <v>4</v>
      </c>
      <c r="C179" s="1" t="s">
        <v>41</v>
      </c>
      <c r="D179" s="1" t="s">
        <v>10</v>
      </c>
      <c r="E179" s="1">
        <f>Capacity!$G$40</f>
        <v>4</v>
      </c>
      <c r="F179" s="1">
        <f>Capacity!$J$40</f>
        <v>4</v>
      </c>
      <c r="G179" s="1">
        <f>Capacity!$K$40</f>
        <v>3</v>
      </c>
      <c r="H179" s="1" t="str">
        <f>Capacity!$L$40</f>
        <v/>
      </c>
      <c r="I179" s="1" t="str">
        <f>Capacity!$M$40</f>
        <v/>
      </c>
      <c r="J179" s="1">
        <f>Capacity!$N$40</f>
        <v>1800</v>
      </c>
      <c r="K179" s="1" t="str">
        <f>Capacity!$O$40</f>
        <v/>
      </c>
      <c r="L179" s="1" t="s">
        <v>4</v>
      </c>
      <c r="M179" s="152">
        <f>Capacity!$V$40</f>
        <v>3.6955555555555555</v>
      </c>
      <c r="N179" s="152">
        <f>Capacity!$W$40</f>
        <v>4</v>
      </c>
      <c r="O179" s="152">
        <f>Capacity!$X$40</f>
        <v>0.30444444444444452</v>
      </c>
    </row>
    <row r="180" spans="1:15" x14ac:dyDescent="0.35">
      <c r="A180" s="1" t="s">
        <v>33</v>
      </c>
      <c r="B180" s="1">
        <v>4</v>
      </c>
      <c r="C180" s="1" t="s">
        <v>41</v>
      </c>
      <c r="D180" s="1" t="s">
        <v>11</v>
      </c>
      <c r="E180" s="1">
        <f>Capacity!$H$40</f>
        <v>4</v>
      </c>
      <c r="F180" s="1">
        <f>Capacity!$J$40</f>
        <v>4</v>
      </c>
      <c r="G180" s="1">
        <f>Capacity!$K$40</f>
        <v>3</v>
      </c>
      <c r="H180" s="1" t="str">
        <f>Capacity!$L$40</f>
        <v/>
      </c>
      <c r="I180" s="1" t="str">
        <f>Capacity!$M$40</f>
        <v/>
      </c>
      <c r="J180" s="1">
        <f>Capacity!$N$40</f>
        <v>1800</v>
      </c>
      <c r="K180" s="1" t="str">
        <f>Capacity!$O$40</f>
        <v/>
      </c>
      <c r="L180" s="1" t="s">
        <v>4</v>
      </c>
      <c r="M180" s="152">
        <f>Capacity!$V$40</f>
        <v>3.6955555555555555</v>
      </c>
      <c r="N180" s="152">
        <f>Capacity!$W$40</f>
        <v>4</v>
      </c>
      <c r="O180" s="152">
        <f>Capacity!$X$40</f>
        <v>0.30444444444444452</v>
      </c>
    </row>
    <row r="181" spans="1:15" x14ac:dyDescent="0.35">
      <c r="A181" s="1" t="s">
        <v>33</v>
      </c>
      <c r="B181" s="1">
        <v>4</v>
      </c>
      <c r="C181" s="1" t="s">
        <v>41</v>
      </c>
      <c r="D181" s="1" t="s">
        <v>12</v>
      </c>
      <c r="E181" s="1">
        <f>Capacity!$I$40</f>
        <v>4</v>
      </c>
      <c r="F181" s="1">
        <f>Capacity!$J$40</f>
        <v>4</v>
      </c>
      <c r="G181" s="1">
        <f>Capacity!$K$40</f>
        <v>3</v>
      </c>
      <c r="H181" s="1" t="str">
        <f>Capacity!$L$40</f>
        <v/>
      </c>
      <c r="I181" s="1" t="str">
        <f>Capacity!$M$40</f>
        <v/>
      </c>
      <c r="J181" s="1">
        <f>Capacity!$N$40</f>
        <v>1800</v>
      </c>
      <c r="K181" s="1" t="str">
        <f>Capacity!$O$40</f>
        <v/>
      </c>
      <c r="L181" s="1" t="s">
        <v>4</v>
      </c>
      <c r="M181" s="152">
        <f>Capacity!$V$40</f>
        <v>3.6955555555555555</v>
      </c>
      <c r="N181" s="152">
        <f>Capacity!$W$40</f>
        <v>4</v>
      </c>
      <c r="O181" s="152">
        <f>Capacity!$X$40</f>
        <v>0.30444444444444452</v>
      </c>
    </row>
    <row r="182" spans="1:15" x14ac:dyDescent="0.35">
      <c r="A182" s="1" t="s">
        <v>33</v>
      </c>
      <c r="B182" s="1">
        <v>4</v>
      </c>
      <c r="C182" s="1" t="s">
        <v>41</v>
      </c>
      <c r="D182" s="1" t="s">
        <v>8</v>
      </c>
      <c r="E182" s="1">
        <f>Capacity!$E$40</f>
        <v>0</v>
      </c>
      <c r="F182" s="1">
        <f>Capacity!$J$40</f>
        <v>4</v>
      </c>
      <c r="G182" s="1">
        <f>Capacity!$K$40</f>
        <v>3</v>
      </c>
      <c r="H182" s="1" t="str">
        <f>Capacity!$L$40</f>
        <v/>
      </c>
      <c r="I182" s="1" t="str">
        <f>Capacity!$M$40</f>
        <v/>
      </c>
      <c r="J182" s="1">
        <f>Capacity!$N$40</f>
        <v>1800</v>
      </c>
      <c r="K182" s="1" t="str">
        <f>Capacity!$O$40</f>
        <v/>
      </c>
      <c r="L182" s="1" t="s">
        <v>56</v>
      </c>
      <c r="M182" s="155">
        <f>Capacity!$Y$40</f>
        <v>141.53191489361703</v>
      </c>
      <c r="N182" s="155">
        <f>Capacity!$Z$40</f>
        <v>153.19148936170214</v>
      </c>
      <c r="O182" s="155">
        <f>Capacity!$AA$40</f>
        <v>11.659574468085111</v>
      </c>
    </row>
    <row r="183" spans="1:15" x14ac:dyDescent="0.35">
      <c r="A183" s="1" t="s">
        <v>33</v>
      </c>
      <c r="B183" s="1">
        <v>4</v>
      </c>
      <c r="C183" s="1" t="s">
        <v>41</v>
      </c>
      <c r="D183" s="1" t="s">
        <v>55</v>
      </c>
      <c r="E183" s="1">
        <f>Capacity!$F$40</f>
        <v>0</v>
      </c>
      <c r="F183" s="1">
        <f>Capacity!$J$40</f>
        <v>4</v>
      </c>
      <c r="G183" s="1">
        <f>Capacity!$K$40</f>
        <v>3</v>
      </c>
      <c r="H183" s="1" t="str">
        <f>Capacity!$L$40</f>
        <v/>
      </c>
      <c r="I183" s="1" t="str">
        <f>Capacity!$M$40</f>
        <v/>
      </c>
      <c r="J183" s="1">
        <f>Capacity!$N$40</f>
        <v>1800</v>
      </c>
      <c r="K183" s="1" t="str">
        <f>Capacity!$O$40</f>
        <v/>
      </c>
      <c r="L183" s="1" t="s">
        <v>56</v>
      </c>
      <c r="M183" s="155">
        <f>Capacity!$Y$40</f>
        <v>141.53191489361703</v>
      </c>
      <c r="N183" s="155">
        <f>Capacity!$Z$40</f>
        <v>153.19148936170214</v>
      </c>
      <c r="O183" s="155">
        <f>Capacity!$AA$40</f>
        <v>11.659574468085111</v>
      </c>
    </row>
    <row r="184" spans="1:15" x14ac:dyDescent="0.35">
      <c r="A184" s="1" t="s">
        <v>33</v>
      </c>
      <c r="B184" s="1">
        <v>4</v>
      </c>
      <c r="C184" s="1" t="s">
        <v>41</v>
      </c>
      <c r="D184" s="1" t="s">
        <v>10</v>
      </c>
      <c r="E184" s="1">
        <f>Capacity!$G$40</f>
        <v>4</v>
      </c>
      <c r="F184" s="1">
        <f>Capacity!$J$40</f>
        <v>4</v>
      </c>
      <c r="G184" s="1">
        <f>Capacity!$K$40</f>
        <v>3</v>
      </c>
      <c r="H184" s="1" t="str">
        <f>Capacity!$L$40</f>
        <v/>
      </c>
      <c r="I184" s="1" t="str">
        <f>Capacity!$M$40</f>
        <v/>
      </c>
      <c r="J184" s="1">
        <f>Capacity!$N$40</f>
        <v>1800</v>
      </c>
      <c r="K184" s="1" t="str">
        <f>Capacity!$O$40</f>
        <v/>
      </c>
      <c r="L184" s="1" t="s">
        <v>56</v>
      </c>
      <c r="M184" s="155">
        <f>Capacity!$Y$40</f>
        <v>141.53191489361703</v>
      </c>
      <c r="N184" s="155">
        <f>Capacity!$Z$40</f>
        <v>153.19148936170214</v>
      </c>
      <c r="O184" s="155">
        <f>Capacity!$AA$40</f>
        <v>11.659574468085111</v>
      </c>
    </row>
    <row r="185" spans="1:15" x14ac:dyDescent="0.35">
      <c r="A185" s="1" t="s">
        <v>33</v>
      </c>
      <c r="B185" s="1">
        <v>4</v>
      </c>
      <c r="C185" s="1" t="s">
        <v>41</v>
      </c>
      <c r="D185" s="1" t="s">
        <v>11</v>
      </c>
      <c r="E185" s="1">
        <f>Capacity!$H$40</f>
        <v>4</v>
      </c>
      <c r="F185" s="1">
        <f>Capacity!$J$40</f>
        <v>4</v>
      </c>
      <c r="G185" s="1">
        <f>Capacity!$K$40</f>
        <v>3</v>
      </c>
      <c r="H185" s="1" t="str">
        <f>Capacity!$L$40</f>
        <v/>
      </c>
      <c r="I185" s="1" t="str">
        <f>Capacity!$M$40</f>
        <v/>
      </c>
      <c r="J185" s="1">
        <f>Capacity!$N$40</f>
        <v>1800</v>
      </c>
      <c r="K185" s="1" t="str">
        <f>Capacity!$O$40</f>
        <v/>
      </c>
      <c r="L185" s="1" t="s">
        <v>56</v>
      </c>
      <c r="M185" s="155">
        <f>Capacity!$Y$40</f>
        <v>141.53191489361703</v>
      </c>
      <c r="N185" s="155">
        <f>Capacity!$Z$40</f>
        <v>153.19148936170214</v>
      </c>
      <c r="O185" s="155">
        <f>Capacity!$AA$40</f>
        <v>11.659574468085111</v>
      </c>
    </row>
    <row r="186" spans="1:15" x14ac:dyDescent="0.35">
      <c r="A186" s="154" t="s">
        <v>33</v>
      </c>
      <c r="B186" s="154">
        <v>4</v>
      </c>
      <c r="C186" s="154" t="s">
        <v>41</v>
      </c>
      <c r="D186" s="154" t="s">
        <v>12</v>
      </c>
      <c r="E186" s="154">
        <f>Capacity!$I$40</f>
        <v>4</v>
      </c>
      <c r="F186" s="154">
        <f>Capacity!$J$40</f>
        <v>4</v>
      </c>
      <c r="G186" s="154">
        <f>Capacity!$K$40</f>
        <v>3</v>
      </c>
      <c r="H186" s="154" t="str">
        <f>Capacity!$L$40</f>
        <v/>
      </c>
      <c r="I186" s="154" t="str">
        <f>Capacity!$M$40</f>
        <v/>
      </c>
      <c r="J186" s="154">
        <f>Capacity!$N$40</f>
        <v>1800</v>
      </c>
      <c r="K186" s="154" t="str">
        <f>Capacity!$O$40</f>
        <v/>
      </c>
      <c r="L186" s="154" t="s">
        <v>56</v>
      </c>
      <c r="M186" s="162">
        <f>Capacity!$Y$40</f>
        <v>141.53191489361703</v>
      </c>
      <c r="N186" s="162">
        <f>Capacity!$Z$40</f>
        <v>153.19148936170214</v>
      </c>
      <c r="O186" s="162">
        <f>Capacity!$AA$40</f>
        <v>11.659574468085111</v>
      </c>
    </row>
    <row r="187" spans="1:15" x14ac:dyDescent="0.35">
      <c r="A187" s="160" t="s">
        <v>29</v>
      </c>
      <c r="B187" s="160">
        <v>1</v>
      </c>
      <c r="C187" s="160" t="s">
        <v>40</v>
      </c>
      <c r="D187" s="161" t="s">
        <v>8</v>
      </c>
      <c r="E187" s="160">
        <f>Capacity!$E$33</f>
        <v>0</v>
      </c>
      <c r="F187" s="160">
        <f>Capacity!$J$33</f>
        <v>3</v>
      </c>
      <c r="G187" s="160">
        <f>Capacity!$K$33</f>
        <v>2</v>
      </c>
      <c r="H187" s="160" t="str">
        <f>Capacity!$L$33</f>
        <v/>
      </c>
      <c r="I187" s="160">
        <f>Capacity!$M$33</f>
        <v>1140</v>
      </c>
      <c r="J187" s="160" t="str">
        <f>Capacity!$N$33</f>
        <v/>
      </c>
      <c r="K187" s="160" t="str">
        <f>Capacity!$O$33</f>
        <v/>
      </c>
      <c r="L187" s="160" t="s">
        <v>2</v>
      </c>
      <c r="M187" s="160">
        <f>Capacity!$P$33</f>
        <v>840</v>
      </c>
      <c r="N187" s="160">
        <f>Capacity!$Q$33</f>
        <v>1140</v>
      </c>
      <c r="O187" s="160">
        <f>Capacity!$R$33</f>
        <v>300</v>
      </c>
    </row>
    <row r="188" spans="1:15" x14ac:dyDescent="0.35">
      <c r="A188" s="160" t="s">
        <v>29</v>
      </c>
      <c r="B188" s="160">
        <v>1</v>
      </c>
      <c r="C188" s="160" t="s">
        <v>40</v>
      </c>
      <c r="D188" s="161" t="s">
        <v>55</v>
      </c>
      <c r="E188" s="160">
        <f>Capacity!$F$33</f>
        <v>3</v>
      </c>
      <c r="F188" s="160">
        <f>Capacity!$J$33</f>
        <v>3</v>
      </c>
      <c r="G188" s="160">
        <f>Capacity!$K$33</f>
        <v>2</v>
      </c>
      <c r="H188" s="160" t="str">
        <f>Capacity!$L$33</f>
        <v/>
      </c>
      <c r="I188" s="160">
        <f>Capacity!$M$33</f>
        <v>1140</v>
      </c>
      <c r="J188" s="160" t="str">
        <f>Capacity!$N$33</f>
        <v/>
      </c>
      <c r="K188" s="160" t="str">
        <f>Capacity!$O$33</f>
        <v/>
      </c>
      <c r="L188" s="160" t="s">
        <v>2</v>
      </c>
      <c r="M188" s="160">
        <f>Capacity!$P$33</f>
        <v>840</v>
      </c>
      <c r="N188" s="160">
        <f>Capacity!$Q$33</f>
        <v>1140</v>
      </c>
      <c r="O188" s="160">
        <f>Capacity!$R$33</f>
        <v>300</v>
      </c>
    </row>
    <row r="189" spans="1:15" x14ac:dyDescent="0.35">
      <c r="A189" s="160" t="s">
        <v>29</v>
      </c>
      <c r="B189" s="160">
        <v>1</v>
      </c>
      <c r="C189" s="160" t="s">
        <v>40</v>
      </c>
      <c r="D189" s="161" t="s">
        <v>10</v>
      </c>
      <c r="E189" s="160">
        <f>Capacity!$G$33</f>
        <v>3</v>
      </c>
      <c r="F189" s="160">
        <f>Capacity!$J$33</f>
        <v>3</v>
      </c>
      <c r="G189" s="160">
        <f>Capacity!$K$33</f>
        <v>2</v>
      </c>
      <c r="H189" s="160" t="str">
        <f>Capacity!$L$33</f>
        <v/>
      </c>
      <c r="I189" s="160">
        <f>Capacity!$M$33</f>
        <v>1140</v>
      </c>
      <c r="J189" s="160" t="str">
        <f>Capacity!$N$33</f>
        <v/>
      </c>
      <c r="K189" s="160" t="str">
        <f>Capacity!$O$33</f>
        <v/>
      </c>
      <c r="L189" s="160" t="s">
        <v>2</v>
      </c>
      <c r="M189" s="160">
        <f>Capacity!$P$33</f>
        <v>840</v>
      </c>
      <c r="N189" s="160">
        <f>Capacity!$Q$33</f>
        <v>1140</v>
      </c>
      <c r="O189" s="160">
        <f>Capacity!$R$33</f>
        <v>300</v>
      </c>
    </row>
    <row r="190" spans="1:15" x14ac:dyDescent="0.35">
      <c r="A190" s="160" t="s">
        <v>29</v>
      </c>
      <c r="B190" s="160">
        <v>1</v>
      </c>
      <c r="C190" s="160" t="s">
        <v>40</v>
      </c>
      <c r="D190" s="161" t="s">
        <v>11</v>
      </c>
      <c r="E190" s="160">
        <f>Capacity!$H$33</f>
        <v>3</v>
      </c>
      <c r="F190" s="160">
        <f>Capacity!$J$33</f>
        <v>3</v>
      </c>
      <c r="G190" s="160">
        <f>Capacity!$K$33</f>
        <v>2</v>
      </c>
      <c r="H190" s="160" t="str">
        <f>Capacity!$L$33</f>
        <v/>
      </c>
      <c r="I190" s="160">
        <f>Capacity!$M$33</f>
        <v>1140</v>
      </c>
      <c r="J190" s="160" t="str">
        <f>Capacity!$N$33</f>
        <v/>
      </c>
      <c r="K190" s="160" t="str">
        <f>Capacity!$O$33</f>
        <v/>
      </c>
      <c r="L190" s="160" t="s">
        <v>2</v>
      </c>
      <c r="M190" s="160">
        <f>Capacity!$P$33</f>
        <v>840</v>
      </c>
      <c r="N190" s="160">
        <f>Capacity!$Q$33</f>
        <v>1140</v>
      </c>
      <c r="O190" s="160">
        <f>Capacity!$R$33</f>
        <v>300</v>
      </c>
    </row>
    <row r="191" spans="1:15" x14ac:dyDescent="0.35">
      <c r="A191" s="160" t="s">
        <v>29</v>
      </c>
      <c r="B191" s="160">
        <v>1</v>
      </c>
      <c r="C191" s="160" t="s">
        <v>40</v>
      </c>
      <c r="D191" s="161" t="s">
        <v>12</v>
      </c>
      <c r="E191" s="160">
        <f>Capacity!$I$33</f>
        <v>3</v>
      </c>
      <c r="F191" s="160">
        <f>Capacity!$J$33</f>
        <v>3</v>
      </c>
      <c r="G191" s="160">
        <f>Capacity!$K$33</f>
        <v>2</v>
      </c>
      <c r="H191" s="160" t="str">
        <f>Capacity!$L$33</f>
        <v/>
      </c>
      <c r="I191" s="160">
        <f>Capacity!$M$33</f>
        <v>1140</v>
      </c>
      <c r="J191" s="160" t="str">
        <f>Capacity!$N$33</f>
        <v/>
      </c>
      <c r="K191" s="160" t="str">
        <f>Capacity!$O$33</f>
        <v/>
      </c>
      <c r="L191" s="160" t="s">
        <v>2</v>
      </c>
      <c r="M191" s="165">
        <f>Capacity!$P$33</f>
        <v>840</v>
      </c>
      <c r="N191" s="165">
        <f>Capacity!$Q$33</f>
        <v>1140</v>
      </c>
      <c r="O191" s="165">
        <f>Capacity!$R$33</f>
        <v>300</v>
      </c>
    </row>
    <row r="192" spans="1:15" x14ac:dyDescent="0.35">
      <c r="A192" s="160" t="s">
        <v>29</v>
      </c>
      <c r="B192" s="160">
        <v>1</v>
      </c>
      <c r="C192" s="160" t="s">
        <v>40</v>
      </c>
      <c r="D192" s="161" t="s">
        <v>8</v>
      </c>
      <c r="E192" s="160">
        <f>Capacity!$E$33</f>
        <v>0</v>
      </c>
      <c r="F192" s="160">
        <f>Capacity!$J$33</f>
        <v>3</v>
      </c>
      <c r="G192" s="160">
        <f>Capacity!$K$33</f>
        <v>2</v>
      </c>
      <c r="H192" s="160" t="str">
        <f>Capacity!$L$33</f>
        <v/>
      </c>
      <c r="I192" s="160">
        <f>Capacity!$M$33</f>
        <v>1140</v>
      </c>
      <c r="J192" s="160" t="str">
        <f>Capacity!$N$33</f>
        <v/>
      </c>
      <c r="K192" s="160" t="str">
        <f>Capacity!$O$33</f>
        <v/>
      </c>
      <c r="L192" s="164" t="s">
        <v>3</v>
      </c>
      <c r="M192" s="163">
        <f>Capacity!$S$33</f>
        <v>4.4210526315789478</v>
      </c>
      <c r="N192" s="163">
        <f>Capacity!$T$33</f>
        <v>6</v>
      </c>
      <c r="O192" s="163">
        <f>Capacity!$U$33</f>
        <v>1.5789473684210522</v>
      </c>
    </row>
    <row r="193" spans="1:15" x14ac:dyDescent="0.35">
      <c r="A193" s="160" t="s">
        <v>29</v>
      </c>
      <c r="B193" s="160">
        <v>1</v>
      </c>
      <c r="C193" s="160" t="s">
        <v>40</v>
      </c>
      <c r="D193" s="161" t="s">
        <v>55</v>
      </c>
      <c r="E193" s="160">
        <f>Capacity!$F$33</f>
        <v>3</v>
      </c>
      <c r="F193" s="160">
        <f>Capacity!$J$33</f>
        <v>3</v>
      </c>
      <c r="G193" s="160">
        <f>Capacity!$K$33</f>
        <v>2</v>
      </c>
      <c r="H193" s="160" t="str">
        <f>Capacity!$L$33</f>
        <v/>
      </c>
      <c r="I193" s="160">
        <f>Capacity!$M$33</f>
        <v>1140</v>
      </c>
      <c r="J193" s="160" t="str">
        <f>Capacity!$N$33</f>
        <v/>
      </c>
      <c r="K193" s="160" t="str">
        <f>Capacity!$O$33</f>
        <v/>
      </c>
      <c r="L193" s="164" t="s">
        <v>3</v>
      </c>
      <c r="M193" s="163">
        <f>Capacity!$S$33</f>
        <v>4.4210526315789478</v>
      </c>
      <c r="N193" s="163">
        <f>Capacity!$T$33</f>
        <v>6</v>
      </c>
      <c r="O193" s="163">
        <f>Capacity!$U$33</f>
        <v>1.5789473684210522</v>
      </c>
    </row>
    <row r="194" spans="1:15" x14ac:dyDescent="0.35">
      <c r="A194" s="160" t="s">
        <v>29</v>
      </c>
      <c r="B194" s="160">
        <v>1</v>
      </c>
      <c r="C194" s="160" t="s">
        <v>40</v>
      </c>
      <c r="D194" s="161" t="s">
        <v>10</v>
      </c>
      <c r="E194" s="160">
        <f>Capacity!$G$33</f>
        <v>3</v>
      </c>
      <c r="F194" s="160">
        <f>Capacity!$J$33</f>
        <v>3</v>
      </c>
      <c r="G194" s="160">
        <f>Capacity!$K$33</f>
        <v>2</v>
      </c>
      <c r="H194" s="160" t="str">
        <f>Capacity!$L$33</f>
        <v/>
      </c>
      <c r="I194" s="160">
        <f>Capacity!$M$33</f>
        <v>1140</v>
      </c>
      <c r="J194" s="160" t="str">
        <f>Capacity!$N$33</f>
        <v/>
      </c>
      <c r="K194" s="160" t="str">
        <f>Capacity!$O$33</f>
        <v/>
      </c>
      <c r="L194" s="164" t="s">
        <v>3</v>
      </c>
      <c r="M194" s="163">
        <f>Capacity!$S$33</f>
        <v>4.4210526315789478</v>
      </c>
      <c r="N194" s="163">
        <f>Capacity!$T$33</f>
        <v>6</v>
      </c>
      <c r="O194" s="163">
        <f>Capacity!$U$33</f>
        <v>1.5789473684210522</v>
      </c>
    </row>
    <row r="195" spans="1:15" x14ac:dyDescent="0.35">
      <c r="A195" s="160" t="s">
        <v>29</v>
      </c>
      <c r="B195" s="160">
        <v>1</v>
      </c>
      <c r="C195" s="160" t="s">
        <v>40</v>
      </c>
      <c r="D195" s="161" t="s">
        <v>11</v>
      </c>
      <c r="E195" s="160">
        <f>Capacity!$H$33</f>
        <v>3</v>
      </c>
      <c r="F195" s="160">
        <f>Capacity!$J$33</f>
        <v>3</v>
      </c>
      <c r="G195" s="160">
        <f>Capacity!$K$33</f>
        <v>2</v>
      </c>
      <c r="H195" s="160" t="str">
        <f>Capacity!$L$33</f>
        <v/>
      </c>
      <c r="I195" s="160">
        <f>Capacity!$M$33</f>
        <v>1140</v>
      </c>
      <c r="J195" s="160" t="str">
        <f>Capacity!$N$33</f>
        <v/>
      </c>
      <c r="K195" s="160" t="str">
        <f>Capacity!$O$33</f>
        <v/>
      </c>
      <c r="L195" s="164" t="s">
        <v>3</v>
      </c>
      <c r="M195" s="163">
        <f>Capacity!$S$33</f>
        <v>4.4210526315789478</v>
      </c>
      <c r="N195" s="163">
        <f>Capacity!$T$33</f>
        <v>6</v>
      </c>
      <c r="O195" s="163">
        <f>Capacity!$U$33</f>
        <v>1.5789473684210522</v>
      </c>
    </row>
    <row r="196" spans="1:15" x14ac:dyDescent="0.35">
      <c r="A196" s="160" t="s">
        <v>29</v>
      </c>
      <c r="B196" s="160">
        <v>1</v>
      </c>
      <c r="C196" s="160" t="s">
        <v>40</v>
      </c>
      <c r="D196" s="161" t="s">
        <v>12</v>
      </c>
      <c r="E196" s="160">
        <f>Capacity!$I$33</f>
        <v>3</v>
      </c>
      <c r="F196" s="160">
        <f>Capacity!$J$33</f>
        <v>3</v>
      </c>
      <c r="G196" s="160">
        <f>Capacity!$K$33</f>
        <v>2</v>
      </c>
      <c r="H196" s="160" t="str">
        <f>Capacity!$L$33</f>
        <v/>
      </c>
      <c r="I196" s="160">
        <f>Capacity!$M$33</f>
        <v>1140</v>
      </c>
      <c r="J196" s="160" t="str">
        <f>Capacity!$N$33</f>
        <v/>
      </c>
      <c r="K196" s="160" t="str">
        <f>Capacity!$O$33</f>
        <v/>
      </c>
      <c r="L196" s="164" t="s">
        <v>3</v>
      </c>
      <c r="M196" s="167">
        <f>Capacity!$S$33</f>
        <v>4.4210526315789478</v>
      </c>
      <c r="N196" s="167">
        <f>Capacity!$T$33</f>
        <v>6</v>
      </c>
      <c r="O196" s="167">
        <f>Capacity!$U$33</f>
        <v>1.5789473684210522</v>
      </c>
    </row>
    <row r="197" spans="1:15" x14ac:dyDescent="0.35">
      <c r="A197" s="160" t="s">
        <v>29</v>
      </c>
      <c r="B197" s="160">
        <v>1</v>
      </c>
      <c r="C197" s="160" t="s">
        <v>40</v>
      </c>
      <c r="D197" s="161" t="s">
        <v>8</v>
      </c>
      <c r="E197" s="160">
        <f>Capacity!$E$33</f>
        <v>0</v>
      </c>
      <c r="F197" s="160">
        <f>Capacity!$J$33</f>
        <v>3</v>
      </c>
      <c r="G197" s="160">
        <f>Capacity!$K$33</f>
        <v>2</v>
      </c>
      <c r="H197" s="160" t="str">
        <f>Capacity!$L$33</f>
        <v/>
      </c>
      <c r="I197" s="160">
        <f>Capacity!$M$33</f>
        <v>1140</v>
      </c>
      <c r="J197" s="160" t="str">
        <f>Capacity!$N$33</f>
        <v/>
      </c>
      <c r="K197" s="160" t="str">
        <f>Capacity!$O$33</f>
        <v/>
      </c>
      <c r="L197" s="164" t="s">
        <v>4</v>
      </c>
      <c r="M197" s="166">
        <f>Capacity!$V$33</f>
        <v>2.2105263157894739</v>
      </c>
      <c r="N197" s="166">
        <f>Capacity!$W$33</f>
        <v>3</v>
      </c>
      <c r="O197" s="166">
        <f>Capacity!$X$33</f>
        <v>0.78947368421052611</v>
      </c>
    </row>
    <row r="198" spans="1:15" x14ac:dyDescent="0.35">
      <c r="A198" s="160" t="s">
        <v>29</v>
      </c>
      <c r="B198" s="160">
        <v>1</v>
      </c>
      <c r="C198" s="160" t="s">
        <v>40</v>
      </c>
      <c r="D198" s="161" t="s">
        <v>55</v>
      </c>
      <c r="E198" s="160">
        <f>Capacity!$F$33</f>
        <v>3</v>
      </c>
      <c r="F198" s="160">
        <f>Capacity!$J$33</f>
        <v>3</v>
      </c>
      <c r="G198" s="160">
        <f>Capacity!$K$33</f>
        <v>2</v>
      </c>
      <c r="H198" s="160" t="str">
        <f>Capacity!$L$33</f>
        <v/>
      </c>
      <c r="I198" s="160">
        <f>Capacity!$M$33</f>
        <v>1140</v>
      </c>
      <c r="J198" s="160" t="str">
        <f>Capacity!$N$33</f>
        <v/>
      </c>
      <c r="K198" s="160" t="str">
        <f>Capacity!$O$33</f>
        <v/>
      </c>
      <c r="L198" s="1" t="s">
        <v>4</v>
      </c>
      <c r="M198" s="166">
        <f>Capacity!$V$33</f>
        <v>2.2105263157894739</v>
      </c>
      <c r="N198" s="166">
        <f>Capacity!$W$33</f>
        <v>3</v>
      </c>
      <c r="O198" s="166">
        <f>Capacity!$X$33</f>
        <v>0.78947368421052611</v>
      </c>
    </row>
    <row r="199" spans="1:15" x14ac:dyDescent="0.35">
      <c r="A199" s="160" t="s">
        <v>29</v>
      </c>
      <c r="B199" s="160">
        <v>1</v>
      </c>
      <c r="C199" s="160" t="s">
        <v>40</v>
      </c>
      <c r="D199" s="161" t="s">
        <v>10</v>
      </c>
      <c r="E199" s="160">
        <f>Capacity!$G$33</f>
        <v>3</v>
      </c>
      <c r="F199" s="160">
        <f>Capacity!$J$33</f>
        <v>3</v>
      </c>
      <c r="G199" s="160">
        <f>Capacity!$K$33</f>
        <v>2</v>
      </c>
      <c r="H199" s="160" t="str">
        <f>Capacity!$L$33</f>
        <v/>
      </c>
      <c r="I199" s="160">
        <f>Capacity!$M$33</f>
        <v>1140</v>
      </c>
      <c r="J199" s="160" t="str">
        <f>Capacity!$N$33</f>
        <v/>
      </c>
      <c r="K199" s="160" t="str">
        <f>Capacity!$O$33</f>
        <v/>
      </c>
      <c r="L199" s="1" t="s">
        <v>4</v>
      </c>
      <c r="M199" s="166">
        <f>Capacity!$V$33</f>
        <v>2.2105263157894739</v>
      </c>
      <c r="N199" s="166">
        <f>Capacity!$W$33</f>
        <v>3</v>
      </c>
      <c r="O199" s="166">
        <f>Capacity!$X$33</f>
        <v>0.78947368421052611</v>
      </c>
    </row>
    <row r="200" spans="1:15" x14ac:dyDescent="0.35">
      <c r="A200" s="160" t="s">
        <v>29</v>
      </c>
      <c r="B200" s="160">
        <v>1</v>
      </c>
      <c r="C200" s="160" t="s">
        <v>40</v>
      </c>
      <c r="D200" s="161" t="s">
        <v>11</v>
      </c>
      <c r="E200" s="160">
        <f>Capacity!$H$33</f>
        <v>3</v>
      </c>
      <c r="F200" s="160">
        <f>Capacity!$J$33</f>
        <v>3</v>
      </c>
      <c r="G200" s="160">
        <f>Capacity!$K$33</f>
        <v>2</v>
      </c>
      <c r="H200" s="160" t="str">
        <f>Capacity!$L$33</f>
        <v/>
      </c>
      <c r="I200" s="160">
        <f>Capacity!$M$33</f>
        <v>1140</v>
      </c>
      <c r="J200" s="160" t="str">
        <f>Capacity!$N$33</f>
        <v/>
      </c>
      <c r="K200" s="160" t="str">
        <f>Capacity!$O$33</f>
        <v/>
      </c>
      <c r="L200" s="1" t="s">
        <v>4</v>
      </c>
      <c r="M200" s="166">
        <f>Capacity!$V$33</f>
        <v>2.2105263157894739</v>
      </c>
      <c r="N200" s="166">
        <f>Capacity!$W$33</f>
        <v>3</v>
      </c>
      <c r="O200" s="166">
        <f>Capacity!$X$33</f>
        <v>0.78947368421052611</v>
      </c>
    </row>
    <row r="201" spans="1:15" x14ac:dyDescent="0.35">
      <c r="A201" s="160" t="s">
        <v>29</v>
      </c>
      <c r="B201" s="160">
        <v>1</v>
      </c>
      <c r="C201" s="160" t="s">
        <v>40</v>
      </c>
      <c r="D201" s="161" t="s">
        <v>12</v>
      </c>
      <c r="E201" s="160">
        <f>Capacity!$I$33</f>
        <v>3</v>
      </c>
      <c r="F201" s="160">
        <f>Capacity!$J$33</f>
        <v>3</v>
      </c>
      <c r="G201" s="160">
        <f>Capacity!$K$33</f>
        <v>2</v>
      </c>
      <c r="H201" s="160" t="str">
        <f>Capacity!$L$33</f>
        <v/>
      </c>
      <c r="I201" s="160">
        <f>Capacity!$M$33</f>
        <v>1140</v>
      </c>
      <c r="J201" s="160" t="str">
        <f>Capacity!$N$33</f>
        <v/>
      </c>
      <c r="K201" s="160" t="str">
        <f>Capacity!$O$33</f>
        <v/>
      </c>
      <c r="L201" s="1" t="s">
        <v>4</v>
      </c>
      <c r="M201" s="169">
        <f>Capacity!$V$33</f>
        <v>2.2105263157894739</v>
      </c>
      <c r="N201" s="169">
        <f>Capacity!$W$33</f>
        <v>3</v>
      </c>
      <c r="O201" s="169">
        <f>Capacity!$X$33</f>
        <v>0.78947368421052611</v>
      </c>
    </row>
    <row r="202" spans="1:15" x14ac:dyDescent="0.35">
      <c r="A202" s="160" t="s">
        <v>29</v>
      </c>
      <c r="B202" s="160">
        <v>1</v>
      </c>
      <c r="C202" s="160" t="s">
        <v>40</v>
      </c>
      <c r="D202" s="161" t="s">
        <v>8</v>
      </c>
      <c r="E202" s="160">
        <f>Capacity!$E$33</f>
        <v>0</v>
      </c>
      <c r="F202" s="160">
        <f>Capacity!$J$33</f>
        <v>3</v>
      </c>
      <c r="G202" s="160">
        <f>Capacity!$K$33</f>
        <v>2</v>
      </c>
      <c r="H202" s="160" t="str">
        <f>Capacity!$L$33</f>
        <v/>
      </c>
      <c r="I202" s="160">
        <f>Capacity!$M$33</f>
        <v>1140</v>
      </c>
      <c r="J202" s="160" t="str">
        <f>Capacity!$N$33</f>
        <v/>
      </c>
      <c r="K202" s="160" t="str">
        <f>Capacity!$O$33</f>
        <v/>
      </c>
      <c r="L202" s="168" t="s">
        <v>56</v>
      </c>
      <c r="M202" s="163">
        <f>Capacity!$Y$33</f>
        <v>71.489361702127653</v>
      </c>
      <c r="N202" s="163">
        <f>Capacity!$Z$33</f>
        <v>97.021276595744681</v>
      </c>
      <c r="O202" s="163">
        <f>Capacity!$AA$33</f>
        <v>25.531914893617028</v>
      </c>
    </row>
    <row r="203" spans="1:15" x14ac:dyDescent="0.35">
      <c r="A203" s="160" t="s">
        <v>29</v>
      </c>
      <c r="B203" s="160">
        <v>1</v>
      </c>
      <c r="C203" s="160" t="s">
        <v>40</v>
      </c>
      <c r="D203" s="161" t="s">
        <v>55</v>
      </c>
      <c r="E203" s="160">
        <f>Capacity!$F$33</f>
        <v>3</v>
      </c>
      <c r="F203" s="160">
        <f>Capacity!$J$33</f>
        <v>3</v>
      </c>
      <c r="G203" s="160">
        <f>Capacity!$K$33</f>
        <v>2</v>
      </c>
      <c r="H203" s="160" t="str">
        <f>Capacity!$L$33</f>
        <v/>
      </c>
      <c r="I203" s="160">
        <f>Capacity!$M$33</f>
        <v>1140</v>
      </c>
      <c r="J203" s="160" t="str">
        <f>Capacity!$N$33</f>
        <v/>
      </c>
      <c r="K203" s="160" t="str">
        <f>Capacity!$O$33</f>
        <v/>
      </c>
      <c r="L203" s="168" t="s">
        <v>56</v>
      </c>
      <c r="M203" s="163">
        <f>Capacity!$Y$33</f>
        <v>71.489361702127653</v>
      </c>
      <c r="N203" s="163">
        <f>Capacity!$Z$33</f>
        <v>97.021276595744681</v>
      </c>
      <c r="O203" s="163">
        <f>Capacity!$AA$33</f>
        <v>25.531914893617028</v>
      </c>
    </row>
    <row r="204" spans="1:15" x14ac:dyDescent="0.35">
      <c r="A204" s="160" t="s">
        <v>29</v>
      </c>
      <c r="B204" s="160">
        <v>1</v>
      </c>
      <c r="C204" s="160" t="s">
        <v>40</v>
      </c>
      <c r="D204" s="161" t="s">
        <v>10</v>
      </c>
      <c r="E204" s="160">
        <f>Capacity!$G$33</f>
        <v>3</v>
      </c>
      <c r="F204" s="160">
        <f>Capacity!$J$33</f>
        <v>3</v>
      </c>
      <c r="G204" s="160">
        <f>Capacity!$K$33</f>
        <v>2</v>
      </c>
      <c r="H204" s="160" t="str">
        <f>Capacity!$L$33</f>
        <v/>
      </c>
      <c r="I204" s="160">
        <f>Capacity!$M$33</f>
        <v>1140</v>
      </c>
      <c r="J204" s="160" t="str">
        <f>Capacity!$N$33</f>
        <v/>
      </c>
      <c r="K204" s="160" t="str">
        <f>Capacity!$O$33</f>
        <v/>
      </c>
      <c r="L204" s="168" t="s">
        <v>56</v>
      </c>
      <c r="M204" s="163">
        <f>Capacity!$Y$33</f>
        <v>71.489361702127653</v>
      </c>
      <c r="N204" s="163">
        <f>Capacity!$Z$33</f>
        <v>97.021276595744681</v>
      </c>
      <c r="O204" s="163">
        <f>Capacity!$AA$33</f>
        <v>25.531914893617028</v>
      </c>
    </row>
    <row r="205" spans="1:15" x14ac:dyDescent="0.35">
      <c r="A205" s="160" t="s">
        <v>29</v>
      </c>
      <c r="B205" s="160">
        <v>1</v>
      </c>
      <c r="C205" s="160" t="s">
        <v>40</v>
      </c>
      <c r="D205" s="161" t="s">
        <v>11</v>
      </c>
      <c r="E205" s="160">
        <f>Capacity!$H$33</f>
        <v>3</v>
      </c>
      <c r="F205" s="160">
        <f>Capacity!$J$33</f>
        <v>3</v>
      </c>
      <c r="G205" s="160">
        <f>Capacity!$K$33</f>
        <v>2</v>
      </c>
      <c r="H205" s="160" t="str">
        <f>Capacity!$L$33</f>
        <v/>
      </c>
      <c r="I205" s="160">
        <f>Capacity!$M$33</f>
        <v>1140</v>
      </c>
      <c r="J205" s="160" t="str">
        <f>Capacity!$N$33</f>
        <v/>
      </c>
      <c r="K205" s="160" t="str">
        <f>Capacity!$O$33</f>
        <v/>
      </c>
      <c r="L205" s="168" t="s">
        <v>56</v>
      </c>
      <c r="M205" s="163">
        <f>Capacity!$Y$33</f>
        <v>71.489361702127653</v>
      </c>
      <c r="N205" s="163">
        <f>Capacity!$Z$33</f>
        <v>97.021276595744681</v>
      </c>
      <c r="O205" s="163">
        <f>Capacity!$AA$33</f>
        <v>25.531914893617028</v>
      </c>
    </row>
    <row r="206" spans="1:15" x14ac:dyDescent="0.35">
      <c r="A206" s="165" t="s">
        <v>29</v>
      </c>
      <c r="B206" s="165">
        <v>1</v>
      </c>
      <c r="C206" s="165" t="s">
        <v>40</v>
      </c>
      <c r="D206" s="171" t="s">
        <v>12</v>
      </c>
      <c r="E206" s="165">
        <f>Capacity!$I$33</f>
        <v>3</v>
      </c>
      <c r="F206" s="165">
        <f>Capacity!$J$33</f>
        <v>3</v>
      </c>
      <c r="G206" s="165">
        <f>Capacity!$K$33</f>
        <v>2</v>
      </c>
      <c r="H206" s="165" t="str">
        <f>Capacity!$L$33</f>
        <v/>
      </c>
      <c r="I206" s="165">
        <f>Capacity!$M$33</f>
        <v>1140</v>
      </c>
      <c r="J206" s="165" t="str">
        <f>Capacity!$N$33</f>
        <v/>
      </c>
      <c r="K206" s="171" t="str">
        <f>Capacity!$O$33</f>
        <v/>
      </c>
      <c r="L206" s="165" t="s">
        <v>56</v>
      </c>
      <c r="M206" s="172">
        <f>Capacity!$Y$33</f>
        <v>71.489361702127653</v>
      </c>
      <c r="N206" s="167">
        <f>Capacity!$Z$33</f>
        <v>97.021276595744681</v>
      </c>
      <c r="O206" s="167">
        <f>Capacity!$AA$33</f>
        <v>25.531914893617028</v>
      </c>
    </row>
    <row r="207" spans="1:15" x14ac:dyDescent="0.35">
      <c r="A207" s="160" t="s">
        <v>31</v>
      </c>
      <c r="B207" s="160">
        <v>2</v>
      </c>
      <c r="C207" s="160" t="s">
        <v>40</v>
      </c>
      <c r="D207" s="160" t="s">
        <v>8</v>
      </c>
      <c r="E207" s="160">
        <f>Capacity!$E$34</f>
        <v>0</v>
      </c>
      <c r="F207" s="160">
        <f>Capacity!$J$34</f>
        <v>3</v>
      </c>
      <c r="G207" s="160">
        <f>Capacity!$K$34</f>
        <v>2</v>
      </c>
      <c r="H207" s="160" t="str">
        <f>Capacity!$L$34</f>
        <v/>
      </c>
      <c r="I207" s="160">
        <f>Capacity!$M$34</f>
        <v>1140</v>
      </c>
      <c r="J207" s="160" t="str">
        <f>Capacity!$N$34</f>
        <v/>
      </c>
      <c r="K207" s="160" t="str">
        <f>Capacity!$O$34</f>
        <v/>
      </c>
      <c r="L207" s="160" t="s">
        <v>2</v>
      </c>
      <c r="M207" s="160">
        <f>Capacity!$P$34</f>
        <v>840</v>
      </c>
      <c r="N207" s="160">
        <f>Capacity!$Q$34</f>
        <v>1140</v>
      </c>
      <c r="O207" s="160">
        <f>Capacity!$R$34</f>
        <v>300</v>
      </c>
    </row>
    <row r="208" spans="1:15" x14ac:dyDescent="0.35">
      <c r="A208" s="160" t="s">
        <v>31</v>
      </c>
      <c r="B208" s="160">
        <v>2</v>
      </c>
      <c r="C208" s="160" t="s">
        <v>40</v>
      </c>
      <c r="D208" s="160" t="s">
        <v>55</v>
      </c>
      <c r="E208" s="160">
        <f>Capacity!$F$34</f>
        <v>3</v>
      </c>
      <c r="F208" s="160">
        <f>Capacity!$J$34</f>
        <v>3</v>
      </c>
      <c r="G208" s="160">
        <f>Capacity!$K$34</f>
        <v>2</v>
      </c>
      <c r="H208" s="160" t="str">
        <f>Capacity!$L$34</f>
        <v/>
      </c>
      <c r="I208" s="160">
        <f>Capacity!$M$34</f>
        <v>1140</v>
      </c>
      <c r="J208" s="160" t="str">
        <f>Capacity!$N$34</f>
        <v/>
      </c>
      <c r="K208" s="160" t="str">
        <f>Capacity!$O$34</f>
        <v/>
      </c>
      <c r="L208" s="160" t="s">
        <v>2</v>
      </c>
      <c r="M208" s="160">
        <f>Capacity!$P$34</f>
        <v>840</v>
      </c>
      <c r="N208" s="160">
        <f>Capacity!$Q$34</f>
        <v>1140</v>
      </c>
      <c r="O208" s="160">
        <f>Capacity!$R$34</f>
        <v>300</v>
      </c>
    </row>
    <row r="209" spans="1:15" x14ac:dyDescent="0.35">
      <c r="A209" s="160" t="s">
        <v>31</v>
      </c>
      <c r="B209" s="160">
        <v>2</v>
      </c>
      <c r="C209" s="160" t="s">
        <v>40</v>
      </c>
      <c r="D209" s="160" t="s">
        <v>10</v>
      </c>
      <c r="E209" s="160">
        <f>Capacity!$G$34</f>
        <v>3</v>
      </c>
      <c r="F209" s="160">
        <f>Capacity!$J$34</f>
        <v>3</v>
      </c>
      <c r="G209" s="160">
        <f>Capacity!$K$34</f>
        <v>2</v>
      </c>
      <c r="H209" s="160" t="str">
        <f>Capacity!$L$34</f>
        <v/>
      </c>
      <c r="I209" s="160">
        <f>Capacity!$M$34</f>
        <v>1140</v>
      </c>
      <c r="J209" s="160" t="str">
        <f>Capacity!$N$34</f>
        <v/>
      </c>
      <c r="K209" s="160" t="str">
        <f>Capacity!$O$34</f>
        <v/>
      </c>
      <c r="L209" s="160" t="s">
        <v>2</v>
      </c>
      <c r="M209" s="160">
        <f>Capacity!$P$34</f>
        <v>840</v>
      </c>
      <c r="N209" s="160">
        <f>Capacity!$Q$34</f>
        <v>1140</v>
      </c>
      <c r="O209" s="160">
        <f>Capacity!$R$34</f>
        <v>300</v>
      </c>
    </row>
    <row r="210" spans="1:15" x14ac:dyDescent="0.35">
      <c r="A210" s="160" t="s">
        <v>31</v>
      </c>
      <c r="B210" s="160">
        <v>2</v>
      </c>
      <c r="C210" s="160" t="s">
        <v>40</v>
      </c>
      <c r="D210" s="160" t="s">
        <v>11</v>
      </c>
      <c r="E210" s="160">
        <f>Capacity!$H$34</f>
        <v>3</v>
      </c>
      <c r="F210" s="160">
        <f>Capacity!$J$34</f>
        <v>3</v>
      </c>
      <c r="G210" s="160">
        <f>Capacity!$K$34</f>
        <v>2</v>
      </c>
      <c r="H210" s="160" t="str">
        <f>Capacity!$L$34</f>
        <v/>
      </c>
      <c r="I210" s="160">
        <f>Capacity!$M$34</f>
        <v>1140</v>
      </c>
      <c r="J210" s="160" t="str">
        <f>Capacity!$N$34</f>
        <v/>
      </c>
      <c r="K210" s="160" t="str">
        <f>Capacity!$O$34</f>
        <v/>
      </c>
      <c r="L210" s="160" t="s">
        <v>2</v>
      </c>
      <c r="M210" s="160">
        <f>Capacity!$P$34</f>
        <v>840</v>
      </c>
      <c r="N210" s="160">
        <f>Capacity!$Q$34</f>
        <v>1140</v>
      </c>
      <c r="O210" s="160">
        <f>Capacity!$R$34</f>
        <v>300</v>
      </c>
    </row>
    <row r="211" spans="1:15" x14ac:dyDescent="0.35">
      <c r="A211" s="160" t="s">
        <v>31</v>
      </c>
      <c r="B211" s="160">
        <v>2</v>
      </c>
      <c r="C211" s="160" t="s">
        <v>40</v>
      </c>
      <c r="D211" s="160" t="s">
        <v>12</v>
      </c>
      <c r="E211" s="160">
        <f>Capacity!$I$34</f>
        <v>3</v>
      </c>
      <c r="F211" s="160">
        <f>Capacity!$J$34</f>
        <v>3</v>
      </c>
      <c r="G211" s="160">
        <f>Capacity!$K$34</f>
        <v>2</v>
      </c>
      <c r="H211" s="160" t="str">
        <f>Capacity!$L$34</f>
        <v/>
      </c>
      <c r="I211" s="160">
        <f>Capacity!$M$34</f>
        <v>1140</v>
      </c>
      <c r="J211" s="160" t="str">
        <f>Capacity!$N$34</f>
        <v/>
      </c>
      <c r="K211" s="160" t="str">
        <f>Capacity!$O$34</f>
        <v/>
      </c>
      <c r="L211" s="165" t="s">
        <v>2</v>
      </c>
      <c r="M211" s="165">
        <f>Capacity!$P$34</f>
        <v>840</v>
      </c>
      <c r="N211" s="165">
        <f>Capacity!$Q$34</f>
        <v>1140</v>
      </c>
      <c r="O211" s="165">
        <f>Capacity!$R$34</f>
        <v>300</v>
      </c>
    </row>
    <row r="212" spans="1:15" x14ac:dyDescent="0.35">
      <c r="A212" s="160" t="s">
        <v>31</v>
      </c>
      <c r="B212" s="160">
        <v>2</v>
      </c>
      <c r="C212" s="160" t="s">
        <v>40</v>
      </c>
      <c r="D212" s="160" t="s">
        <v>8</v>
      </c>
      <c r="E212" s="160">
        <f>Capacity!$E$34</f>
        <v>0</v>
      </c>
      <c r="F212" s="160">
        <f>Capacity!$J$34</f>
        <v>3</v>
      </c>
      <c r="G212" s="160">
        <f>Capacity!$K$34</f>
        <v>2</v>
      </c>
      <c r="H212" s="160" t="str">
        <f>Capacity!$L$34</f>
        <v/>
      </c>
      <c r="I212" s="160">
        <f>Capacity!$M$34</f>
        <v>1140</v>
      </c>
      <c r="J212" s="160" t="str">
        <f>Capacity!$N$34</f>
        <v/>
      </c>
      <c r="K212" s="161" t="str">
        <f>Capacity!$O$34</f>
        <v/>
      </c>
      <c r="L212" s="160" t="s">
        <v>3</v>
      </c>
      <c r="M212" s="163">
        <f>Capacity!$S$34</f>
        <v>4.4210526315789478</v>
      </c>
      <c r="N212" s="163">
        <f>Capacity!$T$34</f>
        <v>6</v>
      </c>
      <c r="O212" s="163">
        <f>Capacity!$U$34</f>
        <v>1.5789473684210522</v>
      </c>
    </row>
    <row r="213" spans="1:15" x14ac:dyDescent="0.35">
      <c r="A213" s="160" t="s">
        <v>31</v>
      </c>
      <c r="B213" s="160">
        <v>2</v>
      </c>
      <c r="C213" s="160" t="s">
        <v>40</v>
      </c>
      <c r="D213" s="160" t="s">
        <v>55</v>
      </c>
      <c r="E213" s="160">
        <f>Capacity!$F$34</f>
        <v>3</v>
      </c>
      <c r="F213" s="160">
        <f>Capacity!$J$34</f>
        <v>3</v>
      </c>
      <c r="G213" s="160">
        <f>Capacity!$K$34</f>
        <v>2</v>
      </c>
      <c r="H213" s="160" t="str">
        <f>Capacity!$L$34</f>
        <v/>
      </c>
      <c r="I213" s="160">
        <f>Capacity!$M$34</f>
        <v>1140</v>
      </c>
      <c r="J213" s="160" t="str">
        <f>Capacity!$N$34</f>
        <v/>
      </c>
      <c r="K213" s="161" t="str">
        <f>Capacity!$O$34</f>
        <v/>
      </c>
      <c r="L213" s="160" t="s">
        <v>3</v>
      </c>
      <c r="M213" s="163">
        <f>Capacity!$S$34</f>
        <v>4.4210526315789478</v>
      </c>
      <c r="N213" s="163">
        <f>Capacity!$T$34</f>
        <v>6</v>
      </c>
      <c r="O213" s="163">
        <f>Capacity!$U$34</f>
        <v>1.5789473684210522</v>
      </c>
    </row>
    <row r="214" spans="1:15" x14ac:dyDescent="0.35">
      <c r="A214" s="160" t="s">
        <v>31</v>
      </c>
      <c r="B214" s="160">
        <v>2</v>
      </c>
      <c r="C214" s="160" t="s">
        <v>40</v>
      </c>
      <c r="D214" s="160" t="s">
        <v>10</v>
      </c>
      <c r="E214" s="160">
        <f>Capacity!$G$34</f>
        <v>3</v>
      </c>
      <c r="F214" s="160">
        <f>Capacity!$J$34</f>
        <v>3</v>
      </c>
      <c r="G214" s="160">
        <f>Capacity!$K$34</f>
        <v>2</v>
      </c>
      <c r="H214" s="160" t="str">
        <f>Capacity!$L$34</f>
        <v/>
      </c>
      <c r="I214" s="160">
        <f>Capacity!$M$34</f>
        <v>1140</v>
      </c>
      <c r="J214" s="160" t="str">
        <f>Capacity!$N$34</f>
        <v/>
      </c>
      <c r="K214" s="161" t="str">
        <f>Capacity!$O$34</f>
        <v/>
      </c>
      <c r="L214" s="160" t="s">
        <v>3</v>
      </c>
      <c r="M214" s="163">
        <f>Capacity!$S$34</f>
        <v>4.4210526315789478</v>
      </c>
      <c r="N214" s="163">
        <f>Capacity!$T$34</f>
        <v>6</v>
      </c>
      <c r="O214" s="163">
        <f>Capacity!$U$34</f>
        <v>1.5789473684210522</v>
      </c>
    </row>
    <row r="215" spans="1:15" x14ac:dyDescent="0.35">
      <c r="A215" s="160" t="s">
        <v>31</v>
      </c>
      <c r="B215" s="160">
        <v>2</v>
      </c>
      <c r="C215" s="160" t="s">
        <v>40</v>
      </c>
      <c r="D215" s="160" t="s">
        <v>11</v>
      </c>
      <c r="E215" s="160">
        <f>Capacity!$H$34</f>
        <v>3</v>
      </c>
      <c r="F215" s="160">
        <f>Capacity!$J$34</f>
        <v>3</v>
      </c>
      <c r="G215" s="160">
        <f>Capacity!$K$34</f>
        <v>2</v>
      </c>
      <c r="H215" s="160" t="str">
        <f>Capacity!$L$34</f>
        <v/>
      </c>
      <c r="I215" s="160">
        <f>Capacity!$M$34</f>
        <v>1140</v>
      </c>
      <c r="J215" s="160" t="str">
        <f>Capacity!$N$34</f>
        <v/>
      </c>
      <c r="K215" s="161" t="str">
        <f>Capacity!$O$34</f>
        <v/>
      </c>
      <c r="L215" s="160" t="s">
        <v>3</v>
      </c>
      <c r="M215" s="163">
        <f>Capacity!$S$34</f>
        <v>4.4210526315789478</v>
      </c>
      <c r="N215" s="163">
        <f>Capacity!$T$34</f>
        <v>6</v>
      </c>
      <c r="O215" s="163">
        <f>Capacity!$U$34</f>
        <v>1.5789473684210522</v>
      </c>
    </row>
    <row r="216" spans="1:15" x14ac:dyDescent="0.35">
      <c r="A216" s="160" t="s">
        <v>31</v>
      </c>
      <c r="B216" s="160">
        <v>2</v>
      </c>
      <c r="C216" s="160" t="s">
        <v>40</v>
      </c>
      <c r="D216" s="160" t="s">
        <v>12</v>
      </c>
      <c r="E216" s="160">
        <f>Capacity!$I$34</f>
        <v>3</v>
      </c>
      <c r="F216" s="160">
        <f>Capacity!$J$34</f>
        <v>3</v>
      </c>
      <c r="G216" s="160">
        <f>Capacity!$K$34</f>
        <v>2</v>
      </c>
      <c r="H216" s="160" t="str">
        <f>Capacity!$L$34</f>
        <v/>
      </c>
      <c r="I216" s="160">
        <f>Capacity!$M$34</f>
        <v>1140</v>
      </c>
      <c r="J216" s="160" t="str">
        <f>Capacity!$N$34</f>
        <v/>
      </c>
      <c r="K216" s="161" t="str">
        <f>Capacity!$O$34</f>
        <v/>
      </c>
      <c r="L216" s="160" t="s">
        <v>3</v>
      </c>
      <c r="M216" s="167">
        <f>Capacity!$S$34</f>
        <v>4.4210526315789478</v>
      </c>
      <c r="N216" s="167">
        <f>Capacity!$T$34</f>
        <v>6</v>
      </c>
      <c r="O216" s="167">
        <f>Capacity!$U$34</f>
        <v>1.5789473684210522</v>
      </c>
    </row>
    <row r="217" spans="1:15" x14ac:dyDescent="0.35">
      <c r="A217" s="160" t="s">
        <v>31</v>
      </c>
      <c r="B217" s="160">
        <v>2</v>
      </c>
      <c r="C217" s="160" t="s">
        <v>40</v>
      </c>
      <c r="D217" s="160" t="s">
        <v>8</v>
      </c>
      <c r="E217" s="160">
        <f>Capacity!$E$34</f>
        <v>0</v>
      </c>
      <c r="F217" s="160">
        <f>Capacity!$J$34</f>
        <v>3</v>
      </c>
      <c r="G217" s="160">
        <f>Capacity!$K$34</f>
        <v>2</v>
      </c>
      <c r="H217" s="160" t="str">
        <f>Capacity!$L$34</f>
        <v/>
      </c>
      <c r="I217" s="160">
        <f>Capacity!$M$34</f>
        <v>1140</v>
      </c>
      <c r="J217" s="160" t="str">
        <f>Capacity!$N$34</f>
        <v/>
      </c>
      <c r="K217" s="161" t="str">
        <f>Capacity!$O$34</f>
        <v/>
      </c>
      <c r="L217" s="164" t="s">
        <v>4</v>
      </c>
      <c r="M217" s="163">
        <f>Capacity!$V$34</f>
        <v>2.2105263157894739</v>
      </c>
      <c r="N217" s="163">
        <f>Capacity!$W$34</f>
        <v>3</v>
      </c>
      <c r="O217" s="163">
        <f>Capacity!$X$34</f>
        <v>0.78947368421052611</v>
      </c>
    </row>
    <row r="218" spans="1:15" x14ac:dyDescent="0.35">
      <c r="A218" s="160" t="s">
        <v>31</v>
      </c>
      <c r="B218" s="160">
        <v>2</v>
      </c>
      <c r="C218" s="160" t="s">
        <v>40</v>
      </c>
      <c r="D218" s="160" t="s">
        <v>55</v>
      </c>
      <c r="E218" s="160">
        <f>Capacity!$F$34</f>
        <v>3</v>
      </c>
      <c r="F218" s="160">
        <f>Capacity!$J$34</f>
        <v>3</v>
      </c>
      <c r="G218" s="160">
        <f>Capacity!$K$34</f>
        <v>2</v>
      </c>
      <c r="H218" s="160" t="str">
        <f>Capacity!$L$34</f>
        <v/>
      </c>
      <c r="I218" s="160">
        <f>Capacity!$M$34</f>
        <v>1140</v>
      </c>
      <c r="J218" s="160" t="str">
        <f>Capacity!$N$34</f>
        <v/>
      </c>
      <c r="K218" s="161" t="str">
        <f>Capacity!$O$34</f>
        <v/>
      </c>
      <c r="L218" s="164" t="s">
        <v>4</v>
      </c>
      <c r="M218" s="163">
        <f>Capacity!$V$34</f>
        <v>2.2105263157894739</v>
      </c>
      <c r="N218" s="163">
        <f>Capacity!$W$34</f>
        <v>3</v>
      </c>
      <c r="O218" s="163">
        <f>Capacity!$X$34</f>
        <v>0.78947368421052611</v>
      </c>
    </row>
    <row r="219" spans="1:15" x14ac:dyDescent="0.35">
      <c r="A219" s="160" t="s">
        <v>31</v>
      </c>
      <c r="B219" s="160">
        <v>2</v>
      </c>
      <c r="C219" s="160" t="s">
        <v>40</v>
      </c>
      <c r="D219" s="160" t="s">
        <v>10</v>
      </c>
      <c r="E219" s="160">
        <f>Capacity!$G$34</f>
        <v>3</v>
      </c>
      <c r="F219" s="160">
        <f>Capacity!$J$34</f>
        <v>3</v>
      </c>
      <c r="G219" s="160">
        <f>Capacity!$K$34</f>
        <v>2</v>
      </c>
      <c r="H219" s="160" t="str">
        <f>Capacity!$L$34</f>
        <v/>
      </c>
      <c r="I219" s="160">
        <f>Capacity!$M$34</f>
        <v>1140</v>
      </c>
      <c r="J219" s="160" t="str">
        <f>Capacity!$N$34</f>
        <v/>
      </c>
      <c r="K219" s="161" t="str">
        <f>Capacity!$O$34</f>
        <v/>
      </c>
      <c r="L219" s="164" t="s">
        <v>4</v>
      </c>
      <c r="M219" s="163">
        <f>Capacity!$V$34</f>
        <v>2.2105263157894739</v>
      </c>
      <c r="N219" s="163">
        <f>Capacity!$W$34</f>
        <v>3</v>
      </c>
      <c r="O219" s="163">
        <f>Capacity!$X$34</f>
        <v>0.78947368421052611</v>
      </c>
    </row>
    <row r="220" spans="1:15" x14ac:dyDescent="0.35">
      <c r="A220" s="160" t="s">
        <v>31</v>
      </c>
      <c r="B220" s="160">
        <v>2</v>
      </c>
      <c r="C220" s="160" t="s">
        <v>40</v>
      </c>
      <c r="D220" s="160" t="s">
        <v>11</v>
      </c>
      <c r="E220" s="160">
        <f>Capacity!$H$34</f>
        <v>3</v>
      </c>
      <c r="F220" s="160">
        <f>Capacity!$J$34</f>
        <v>3</v>
      </c>
      <c r="G220" s="160">
        <f>Capacity!$K$34</f>
        <v>2</v>
      </c>
      <c r="H220" s="160" t="str">
        <f>Capacity!$L$34</f>
        <v/>
      </c>
      <c r="I220" s="160">
        <f>Capacity!$M$34</f>
        <v>1140</v>
      </c>
      <c r="J220" s="160" t="str">
        <f>Capacity!$N$34</f>
        <v/>
      </c>
      <c r="K220" s="161" t="str">
        <f>Capacity!$O$34</f>
        <v/>
      </c>
      <c r="L220" s="164" t="s">
        <v>4</v>
      </c>
      <c r="M220" s="163">
        <f>Capacity!$V$34</f>
        <v>2.2105263157894739</v>
      </c>
      <c r="N220" s="163">
        <f>Capacity!$W$34</f>
        <v>3</v>
      </c>
      <c r="O220" s="163">
        <f>Capacity!$X$34</f>
        <v>0.78947368421052611</v>
      </c>
    </row>
    <row r="221" spans="1:15" x14ac:dyDescent="0.35">
      <c r="A221" s="160" t="s">
        <v>31</v>
      </c>
      <c r="B221" s="160">
        <v>2</v>
      </c>
      <c r="C221" s="160" t="s">
        <v>40</v>
      </c>
      <c r="D221" s="160" t="s">
        <v>12</v>
      </c>
      <c r="E221" s="160">
        <f>Capacity!$I$34</f>
        <v>3</v>
      </c>
      <c r="F221" s="160">
        <f>Capacity!$J$34</f>
        <v>3</v>
      </c>
      <c r="G221" s="160">
        <f>Capacity!$K$34</f>
        <v>2</v>
      </c>
      <c r="H221" s="160" t="str">
        <f>Capacity!$L$34</f>
        <v/>
      </c>
      <c r="I221" s="160">
        <f>Capacity!$M$34</f>
        <v>1140</v>
      </c>
      <c r="J221" s="160" t="str">
        <f>Capacity!$N$34</f>
        <v/>
      </c>
      <c r="K221" s="161" t="str">
        <f>Capacity!$O$34</f>
        <v/>
      </c>
      <c r="L221" s="164" t="s">
        <v>4</v>
      </c>
      <c r="M221" s="163">
        <f>Capacity!$V$34</f>
        <v>2.2105263157894739</v>
      </c>
      <c r="N221" s="163">
        <f>Capacity!$W$34</f>
        <v>3</v>
      </c>
      <c r="O221" s="163">
        <f>Capacity!$X$34</f>
        <v>0.78947368421052611</v>
      </c>
    </row>
    <row r="222" spans="1:15" x14ac:dyDescent="0.35">
      <c r="A222" s="160" t="s">
        <v>31</v>
      </c>
      <c r="B222" s="160">
        <v>2</v>
      </c>
      <c r="C222" s="160" t="s">
        <v>40</v>
      </c>
      <c r="D222" s="160" t="s">
        <v>8</v>
      </c>
      <c r="E222" s="160">
        <f>Capacity!$E$34</f>
        <v>0</v>
      </c>
      <c r="F222" s="160">
        <f>Capacity!$J$34</f>
        <v>3</v>
      </c>
      <c r="G222" s="160">
        <f>Capacity!$K$34</f>
        <v>2</v>
      </c>
      <c r="H222" s="160" t="str">
        <f>Capacity!$L$34</f>
        <v/>
      </c>
      <c r="I222" s="160">
        <f>Capacity!$M$34</f>
        <v>1140</v>
      </c>
      <c r="J222" s="160" t="str">
        <f>Capacity!$N$34</f>
        <v/>
      </c>
      <c r="K222" s="161" t="str">
        <f>Capacity!$O$34</f>
        <v/>
      </c>
      <c r="L222" s="171" t="s">
        <v>56</v>
      </c>
      <c r="M222" s="163">
        <f>Capacity!$Y$34</f>
        <v>71.489361702127653</v>
      </c>
      <c r="N222" s="163">
        <f>Capacity!$Z$34</f>
        <v>97.021276595744681</v>
      </c>
      <c r="O222" s="163">
        <f>Capacity!$AA$34</f>
        <v>25.531914893617028</v>
      </c>
    </row>
    <row r="223" spans="1:15" x14ac:dyDescent="0.35">
      <c r="A223" s="160" t="s">
        <v>31</v>
      </c>
      <c r="B223" s="160">
        <v>2</v>
      </c>
      <c r="C223" s="160" t="s">
        <v>40</v>
      </c>
      <c r="D223" s="160" t="s">
        <v>55</v>
      </c>
      <c r="E223" s="160">
        <f>Capacity!$F$34</f>
        <v>3</v>
      </c>
      <c r="F223" s="160">
        <f>Capacity!$J$34</f>
        <v>3</v>
      </c>
      <c r="G223" s="160">
        <f>Capacity!$K$34</f>
        <v>2</v>
      </c>
      <c r="H223" s="160" t="str">
        <f>Capacity!$L$34</f>
        <v/>
      </c>
      <c r="I223" s="160">
        <f>Capacity!$M$34</f>
        <v>1140</v>
      </c>
      <c r="J223" s="160" t="str">
        <f>Capacity!$N$34</f>
        <v/>
      </c>
      <c r="K223" s="161" t="str">
        <f>Capacity!$O$34</f>
        <v/>
      </c>
      <c r="L223" s="171" t="s">
        <v>56</v>
      </c>
      <c r="M223" s="163">
        <f>Capacity!$Y$34</f>
        <v>71.489361702127653</v>
      </c>
      <c r="N223" s="163">
        <f>Capacity!$Z$34</f>
        <v>97.021276595744681</v>
      </c>
      <c r="O223" s="163">
        <f>Capacity!$AA$34</f>
        <v>25.531914893617028</v>
      </c>
    </row>
    <row r="224" spans="1:15" x14ac:dyDescent="0.35">
      <c r="A224" s="160" t="s">
        <v>31</v>
      </c>
      <c r="B224" s="160">
        <v>2</v>
      </c>
      <c r="C224" s="160" t="s">
        <v>40</v>
      </c>
      <c r="D224" s="160" t="s">
        <v>10</v>
      </c>
      <c r="E224" s="160">
        <f>Capacity!$G$34</f>
        <v>3</v>
      </c>
      <c r="F224" s="160">
        <f>Capacity!$J$34</f>
        <v>3</v>
      </c>
      <c r="G224" s="160">
        <f>Capacity!$K$34</f>
        <v>2</v>
      </c>
      <c r="H224" s="160" t="str">
        <f>Capacity!$L$34</f>
        <v/>
      </c>
      <c r="I224" s="160">
        <f>Capacity!$M$34</f>
        <v>1140</v>
      </c>
      <c r="J224" s="160" t="str">
        <f>Capacity!$N$34</f>
        <v/>
      </c>
      <c r="K224" s="161" t="str">
        <f>Capacity!$O$34</f>
        <v/>
      </c>
      <c r="L224" s="171" t="s">
        <v>56</v>
      </c>
      <c r="M224" s="163">
        <f>Capacity!$Y$34</f>
        <v>71.489361702127653</v>
      </c>
      <c r="N224" s="163">
        <f>Capacity!$Z$34</f>
        <v>97.021276595744681</v>
      </c>
      <c r="O224" s="163">
        <f>Capacity!$AA$34</f>
        <v>25.531914893617028</v>
      </c>
    </row>
    <row r="225" spans="1:15" x14ac:dyDescent="0.35">
      <c r="A225" s="160" t="s">
        <v>31</v>
      </c>
      <c r="B225" s="160">
        <v>2</v>
      </c>
      <c r="C225" s="160" t="s">
        <v>40</v>
      </c>
      <c r="D225" s="160" t="s">
        <v>11</v>
      </c>
      <c r="E225" s="160">
        <f>Capacity!$H$34</f>
        <v>3</v>
      </c>
      <c r="F225" s="160">
        <f>Capacity!$J$34</f>
        <v>3</v>
      </c>
      <c r="G225" s="160">
        <f>Capacity!$K$34</f>
        <v>2</v>
      </c>
      <c r="H225" s="160" t="str">
        <f>Capacity!$L$34</f>
        <v/>
      </c>
      <c r="I225" s="160">
        <f>Capacity!$M$34</f>
        <v>1140</v>
      </c>
      <c r="J225" s="160" t="str">
        <f>Capacity!$N$34</f>
        <v/>
      </c>
      <c r="K225" s="161" t="str">
        <f>Capacity!$O$34</f>
        <v/>
      </c>
      <c r="L225" s="171" t="s">
        <v>56</v>
      </c>
      <c r="M225" s="163">
        <f>Capacity!$Y$34</f>
        <v>71.489361702127653</v>
      </c>
      <c r="N225" s="163">
        <f>Capacity!$Z$34</f>
        <v>97.021276595744681</v>
      </c>
      <c r="O225" s="163">
        <f>Capacity!$AA$34</f>
        <v>25.531914893617028</v>
      </c>
    </row>
    <row r="226" spans="1:15" x14ac:dyDescent="0.35">
      <c r="A226" s="165" t="s">
        <v>31</v>
      </c>
      <c r="B226" s="165">
        <v>2</v>
      </c>
      <c r="C226" s="165" t="s">
        <v>40</v>
      </c>
      <c r="D226" s="165" t="s">
        <v>12</v>
      </c>
      <c r="E226" s="165">
        <f>Capacity!$I$34</f>
        <v>3</v>
      </c>
      <c r="F226" s="165">
        <f>Capacity!$J$34</f>
        <v>3</v>
      </c>
      <c r="G226" s="165">
        <f>Capacity!$K$34</f>
        <v>2</v>
      </c>
      <c r="H226" s="165" t="str">
        <f>Capacity!$L$34</f>
        <v/>
      </c>
      <c r="I226" s="165">
        <f>Capacity!$M$34</f>
        <v>1140</v>
      </c>
      <c r="J226" s="165" t="str">
        <f>Capacity!$N$34</f>
        <v/>
      </c>
      <c r="K226" s="171" t="str">
        <f>Capacity!$O$34</f>
        <v/>
      </c>
      <c r="L226" s="171" t="s">
        <v>56</v>
      </c>
      <c r="M226" s="167">
        <f>Capacity!$Y$34</f>
        <v>71.489361702127653</v>
      </c>
      <c r="N226" s="167">
        <f>Capacity!$Z$34</f>
        <v>97.021276595744681</v>
      </c>
      <c r="O226" s="167">
        <f>Capacity!$AA$34</f>
        <v>25.531914893617028</v>
      </c>
    </row>
    <row r="227" spans="1:15" x14ac:dyDescent="0.35">
      <c r="A227" s="160" t="s">
        <v>32</v>
      </c>
      <c r="B227" s="160">
        <v>3</v>
      </c>
      <c r="C227" s="160" t="s">
        <v>40</v>
      </c>
      <c r="D227" s="160" t="s">
        <v>8</v>
      </c>
      <c r="E227" s="160">
        <f>Capacity!$E$35</f>
        <v>0</v>
      </c>
      <c r="F227" s="160">
        <f>Capacity!$J$35</f>
        <v>3</v>
      </c>
      <c r="G227" s="160">
        <f>Capacity!$K$35</f>
        <v>2</v>
      </c>
      <c r="H227" s="160" t="str">
        <f>Capacity!$L$35</f>
        <v/>
      </c>
      <c r="I227" s="160">
        <f>Capacity!$M$35</f>
        <v>1140</v>
      </c>
      <c r="J227" s="160" t="str">
        <f>Capacity!$N$35</f>
        <v/>
      </c>
      <c r="K227" s="160" t="str">
        <f>Capacity!$O$35</f>
        <v/>
      </c>
      <c r="L227" s="160" t="s">
        <v>2</v>
      </c>
      <c r="M227" s="160">
        <f>Capacity!$P$35</f>
        <v>840</v>
      </c>
      <c r="N227" s="160">
        <f>Capacity!$Q$35</f>
        <v>1140</v>
      </c>
      <c r="O227" s="160">
        <f>Capacity!$R$35</f>
        <v>300</v>
      </c>
    </row>
    <row r="228" spans="1:15" x14ac:dyDescent="0.35">
      <c r="A228" s="160" t="s">
        <v>32</v>
      </c>
      <c r="B228" s="160">
        <v>3</v>
      </c>
      <c r="C228" s="160" t="s">
        <v>40</v>
      </c>
      <c r="D228" s="160" t="s">
        <v>55</v>
      </c>
      <c r="E228" s="160">
        <f>Capacity!$F$35</f>
        <v>3</v>
      </c>
      <c r="F228" s="160">
        <f>Capacity!$J$35</f>
        <v>3</v>
      </c>
      <c r="G228" s="160">
        <f>Capacity!$K$35</f>
        <v>2</v>
      </c>
      <c r="H228" s="160" t="str">
        <f>Capacity!$L$35</f>
        <v/>
      </c>
      <c r="I228" s="160">
        <f>Capacity!$M$35</f>
        <v>1140</v>
      </c>
      <c r="J228" s="160" t="str">
        <f>Capacity!$N$35</f>
        <v/>
      </c>
      <c r="K228" s="160" t="str">
        <f>Capacity!$O$35</f>
        <v/>
      </c>
      <c r="L228" s="160" t="s">
        <v>2</v>
      </c>
      <c r="M228" s="160">
        <f>Capacity!$P$35</f>
        <v>840</v>
      </c>
      <c r="N228" s="160">
        <f>Capacity!$Q$35</f>
        <v>1140</v>
      </c>
      <c r="O228" s="160">
        <f>Capacity!$R$35</f>
        <v>300</v>
      </c>
    </row>
    <row r="229" spans="1:15" x14ac:dyDescent="0.35">
      <c r="A229" s="160" t="s">
        <v>32</v>
      </c>
      <c r="B229" s="160">
        <v>3</v>
      </c>
      <c r="C229" s="160" t="s">
        <v>40</v>
      </c>
      <c r="D229" s="160" t="s">
        <v>10</v>
      </c>
      <c r="E229" s="160">
        <f>Capacity!$G$35</f>
        <v>3</v>
      </c>
      <c r="F229" s="160">
        <f>Capacity!$J$35</f>
        <v>3</v>
      </c>
      <c r="G229" s="160">
        <f>Capacity!$K$35</f>
        <v>2</v>
      </c>
      <c r="H229" s="160" t="str">
        <f>Capacity!$L$35</f>
        <v/>
      </c>
      <c r="I229" s="160">
        <f>Capacity!$M$35</f>
        <v>1140</v>
      </c>
      <c r="J229" s="160" t="str">
        <f>Capacity!$N$35</f>
        <v/>
      </c>
      <c r="K229" s="160" t="str">
        <f>Capacity!$O$35</f>
        <v/>
      </c>
      <c r="L229" s="160" t="s">
        <v>2</v>
      </c>
      <c r="M229" s="160">
        <f>Capacity!$P$35</f>
        <v>840</v>
      </c>
      <c r="N229" s="160">
        <f>Capacity!$Q$35</f>
        <v>1140</v>
      </c>
      <c r="O229" s="160">
        <f>Capacity!$R$35</f>
        <v>300</v>
      </c>
    </row>
    <row r="230" spans="1:15" x14ac:dyDescent="0.35">
      <c r="A230" s="160" t="s">
        <v>32</v>
      </c>
      <c r="B230" s="160">
        <v>3</v>
      </c>
      <c r="C230" s="160" t="s">
        <v>40</v>
      </c>
      <c r="D230" s="160" t="s">
        <v>11</v>
      </c>
      <c r="E230" s="160">
        <f>Capacity!$H$35</f>
        <v>3</v>
      </c>
      <c r="F230" s="160">
        <f>Capacity!$J$35</f>
        <v>3</v>
      </c>
      <c r="G230" s="160">
        <f>Capacity!$K$35</f>
        <v>2</v>
      </c>
      <c r="H230" s="160" t="str">
        <f>Capacity!$L$35</f>
        <v/>
      </c>
      <c r="I230" s="160">
        <f>Capacity!$M$35</f>
        <v>1140</v>
      </c>
      <c r="J230" s="160" t="str">
        <f>Capacity!$N$35</f>
        <v/>
      </c>
      <c r="K230" s="160" t="str">
        <f>Capacity!$O$35</f>
        <v/>
      </c>
      <c r="L230" s="160" t="s">
        <v>2</v>
      </c>
      <c r="M230" s="160">
        <f>Capacity!$P$35</f>
        <v>840</v>
      </c>
      <c r="N230" s="160">
        <f>Capacity!$Q$35</f>
        <v>1140</v>
      </c>
      <c r="O230" s="160">
        <f>Capacity!$R$35</f>
        <v>300</v>
      </c>
    </row>
    <row r="231" spans="1:15" x14ac:dyDescent="0.35">
      <c r="A231" s="160" t="s">
        <v>32</v>
      </c>
      <c r="B231" s="160">
        <v>3</v>
      </c>
      <c r="C231" s="160" t="s">
        <v>40</v>
      </c>
      <c r="D231" s="160" t="s">
        <v>12</v>
      </c>
      <c r="E231" s="160">
        <f>Capacity!$I$35</f>
        <v>3</v>
      </c>
      <c r="F231" s="160">
        <f>Capacity!$J$35</f>
        <v>3</v>
      </c>
      <c r="G231" s="160">
        <f>Capacity!$K$35</f>
        <v>2</v>
      </c>
      <c r="H231" s="160" t="str">
        <f>Capacity!$L$35</f>
        <v/>
      </c>
      <c r="I231" s="160">
        <f>Capacity!$M$35</f>
        <v>1140</v>
      </c>
      <c r="J231" s="160" t="str">
        <f>Capacity!$N$35</f>
        <v/>
      </c>
      <c r="K231" s="160" t="str">
        <f>Capacity!$O$35</f>
        <v/>
      </c>
      <c r="L231" s="160" t="s">
        <v>2</v>
      </c>
      <c r="M231" s="165">
        <f>Capacity!$P$35</f>
        <v>840</v>
      </c>
      <c r="N231" s="165">
        <f>Capacity!$Q$35</f>
        <v>1140</v>
      </c>
      <c r="O231" s="165">
        <f>Capacity!$R$35</f>
        <v>300</v>
      </c>
    </row>
    <row r="232" spans="1:15" x14ac:dyDescent="0.35">
      <c r="A232" s="160" t="s">
        <v>32</v>
      </c>
      <c r="B232" s="160">
        <v>3</v>
      </c>
      <c r="C232" s="160" t="s">
        <v>40</v>
      </c>
      <c r="D232" s="160" t="s">
        <v>8</v>
      </c>
      <c r="E232" s="160">
        <f>Capacity!$E$35</f>
        <v>0</v>
      </c>
      <c r="F232" s="160">
        <f>Capacity!$J$35</f>
        <v>3</v>
      </c>
      <c r="G232" s="160">
        <f>Capacity!$K$35</f>
        <v>2</v>
      </c>
      <c r="H232" s="160" t="str">
        <f>Capacity!$L$35</f>
        <v/>
      </c>
      <c r="I232" s="160">
        <f>Capacity!$M$35</f>
        <v>1140</v>
      </c>
      <c r="J232" s="160" t="str">
        <f>Capacity!$N$35</f>
        <v/>
      </c>
      <c r="K232" s="160" t="str">
        <f>Capacity!$O$35</f>
        <v/>
      </c>
      <c r="L232" s="161" t="s">
        <v>3</v>
      </c>
      <c r="M232" s="163">
        <f>Capacity!$S$35</f>
        <v>4.4210526315789478</v>
      </c>
      <c r="N232" s="163">
        <f>Capacity!$T$35</f>
        <v>6</v>
      </c>
      <c r="O232" s="163">
        <f>Capacity!$U$35</f>
        <v>1.5789473684210522</v>
      </c>
    </row>
    <row r="233" spans="1:15" x14ac:dyDescent="0.35">
      <c r="A233" s="160" t="s">
        <v>32</v>
      </c>
      <c r="B233" s="160">
        <v>3</v>
      </c>
      <c r="C233" s="160" t="s">
        <v>40</v>
      </c>
      <c r="D233" s="160" t="s">
        <v>55</v>
      </c>
      <c r="E233" s="160">
        <f>Capacity!$F$35</f>
        <v>3</v>
      </c>
      <c r="F233" s="160">
        <f>Capacity!$J$35</f>
        <v>3</v>
      </c>
      <c r="G233" s="160">
        <f>Capacity!$K$35</f>
        <v>2</v>
      </c>
      <c r="H233" s="160" t="str">
        <f>Capacity!$L$35</f>
        <v/>
      </c>
      <c r="I233" s="160">
        <f>Capacity!$M$35</f>
        <v>1140</v>
      </c>
      <c r="J233" s="160" t="str">
        <f>Capacity!$N$35</f>
        <v/>
      </c>
      <c r="K233" s="160" t="str">
        <f>Capacity!$O$35</f>
        <v/>
      </c>
      <c r="L233" s="161" t="s">
        <v>3</v>
      </c>
      <c r="M233" s="163">
        <f>Capacity!$S$35</f>
        <v>4.4210526315789478</v>
      </c>
      <c r="N233" s="163">
        <f>Capacity!$T$35</f>
        <v>6</v>
      </c>
      <c r="O233" s="163">
        <f>Capacity!$U$35</f>
        <v>1.5789473684210522</v>
      </c>
    </row>
    <row r="234" spans="1:15" x14ac:dyDescent="0.35">
      <c r="A234" s="160" t="s">
        <v>32</v>
      </c>
      <c r="B234" s="160">
        <v>3</v>
      </c>
      <c r="C234" s="160" t="s">
        <v>40</v>
      </c>
      <c r="D234" s="160" t="s">
        <v>10</v>
      </c>
      <c r="E234" s="160">
        <f>Capacity!$G$35</f>
        <v>3</v>
      </c>
      <c r="F234" s="160">
        <f>Capacity!$J$35</f>
        <v>3</v>
      </c>
      <c r="G234" s="160">
        <f>Capacity!$K$35</f>
        <v>2</v>
      </c>
      <c r="H234" s="160" t="str">
        <f>Capacity!$L$35</f>
        <v/>
      </c>
      <c r="I234" s="160">
        <f>Capacity!$M$35</f>
        <v>1140</v>
      </c>
      <c r="J234" s="160" t="str">
        <f>Capacity!$N$35</f>
        <v/>
      </c>
      <c r="K234" s="160" t="str">
        <f>Capacity!$O$35</f>
        <v/>
      </c>
      <c r="L234" s="161" t="s">
        <v>3</v>
      </c>
      <c r="M234" s="163">
        <f>Capacity!$S$35</f>
        <v>4.4210526315789478</v>
      </c>
      <c r="N234" s="163">
        <f>Capacity!$T$35</f>
        <v>6</v>
      </c>
      <c r="O234" s="163">
        <f>Capacity!$U$35</f>
        <v>1.5789473684210522</v>
      </c>
    </row>
    <row r="235" spans="1:15" x14ac:dyDescent="0.35">
      <c r="A235" s="160" t="s">
        <v>32</v>
      </c>
      <c r="B235" s="160">
        <v>3</v>
      </c>
      <c r="C235" s="160" t="s">
        <v>40</v>
      </c>
      <c r="D235" s="160" t="s">
        <v>11</v>
      </c>
      <c r="E235" s="160">
        <f>Capacity!$H$35</f>
        <v>3</v>
      </c>
      <c r="F235" s="160">
        <f>Capacity!$J$35</f>
        <v>3</v>
      </c>
      <c r="G235" s="160">
        <f>Capacity!$K$35</f>
        <v>2</v>
      </c>
      <c r="H235" s="160" t="str">
        <f>Capacity!$L$35</f>
        <v/>
      </c>
      <c r="I235" s="160">
        <f>Capacity!$M$35</f>
        <v>1140</v>
      </c>
      <c r="J235" s="160" t="str">
        <f>Capacity!$N$35</f>
        <v/>
      </c>
      <c r="K235" s="160" t="str">
        <f>Capacity!$O$35</f>
        <v/>
      </c>
      <c r="L235" s="161" t="s">
        <v>3</v>
      </c>
      <c r="M235" s="163">
        <f>Capacity!$S$35</f>
        <v>4.4210526315789478</v>
      </c>
      <c r="N235" s="163">
        <f>Capacity!$T$35</f>
        <v>6</v>
      </c>
      <c r="O235" s="163">
        <f>Capacity!$U$35</f>
        <v>1.5789473684210522</v>
      </c>
    </row>
    <row r="236" spans="1:15" x14ac:dyDescent="0.35">
      <c r="A236" s="160" t="s">
        <v>32</v>
      </c>
      <c r="B236" s="160">
        <v>3</v>
      </c>
      <c r="C236" s="160" t="s">
        <v>40</v>
      </c>
      <c r="D236" s="160" t="s">
        <v>12</v>
      </c>
      <c r="E236" s="160">
        <f>Capacity!$I$35</f>
        <v>3</v>
      </c>
      <c r="F236" s="160">
        <f>Capacity!$J$35</f>
        <v>3</v>
      </c>
      <c r="G236" s="160">
        <f>Capacity!$K$35</f>
        <v>2</v>
      </c>
      <c r="H236" s="160" t="str">
        <f>Capacity!$L$35</f>
        <v/>
      </c>
      <c r="I236" s="160">
        <f>Capacity!$M$35</f>
        <v>1140</v>
      </c>
      <c r="J236" s="160" t="str">
        <f>Capacity!$N$35</f>
        <v/>
      </c>
      <c r="K236" s="160" t="str">
        <f>Capacity!$O$35</f>
        <v/>
      </c>
      <c r="L236" s="161" t="s">
        <v>3</v>
      </c>
      <c r="M236" s="167">
        <f>Capacity!$S$35</f>
        <v>4.4210526315789478</v>
      </c>
      <c r="N236" s="167">
        <f>Capacity!$T$35</f>
        <v>6</v>
      </c>
      <c r="O236" s="167">
        <f>Capacity!$U$35</f>
        <v>1.5789473684210522</v>
      </c>
    </row>
    <row r="237" spans="1:15" x14ac:dyDescent="0.35">
      <c r="A237" s="160" t="s">
        <v>32</v>
      </c>
      <c r="B237" s="160">
        <v>3</v>
      </c>
      <c r="C237" s="160" t="s">
        <v>40</v>
      </c>
      <c r="D237" s="160" t="s">
        <v>8</v>
      </c>
      <c r="E237" s="160">
        <f>Capacity!$E$35</f>
        <v>0</v>
      </c>
      <c r="F237" s="160">
        <f>Capacity!$J$35</f>
        <v>3</v>
      </c>
      <c r="G237" s="160">
        <f>Capacity!$K$35</f>
        <v>2</v>
      </c>
      <c r="H237" s="160" t="str">
        <f>Capacity!$L$35</f>
        <v/>
      </c>
      <c r="I237" s="160">
        <f>Capacity!$M$35</f>
        <v>1140</v>
      </c>
      <c r="J237" s="160" t="str">
        <f>Capacity!$N$35</f>
        <v/>
      </c>
      <c r="K237" s="160" t="str">
        <f>Capacity!$O$35</f>
        <v/>
      </c>
      <c r="L237" s="164" t="s">
        <v>4</v>
      </c>
      <c r="M237" s="163">
        <f>Capacity!$V$35</f>
        <v>2.2105263157894739</v>
      </c>
      <c r="N237" s="163">
        <f>Capacity!$W$35</f>
        <v>3</v>
      </c>
      <c r="O237" s="163">
        <f>Capacity!$X$35</f>
        <v>0.78947368421052611</v>
      </c>
    </row>
    <row r="238" spans="1:15" x14ac:dyDescent="0.35">
      <c r="A238" s="160" t="s">
        <v>32</v>
      </c>
      <c r="B238" s="160">
        <v>3</v>
      </c>
      <c r="C238" s="160" t="s">
        <v>40</v>
      </c>
      <c r="D238" s="160" t="s">
        <v>55</v>
      </c>
      <c r="E238" s="160">
        <f>Capacity!$F$35</f>
        <v>3</v>
      </c>
      <c r="F238" s="160">
        <f>Capacity!$J$35</f>
        <v>3</v>
      </c>
      <c r="G238" s="160">
        <f>Capacity!$K$35</f>
        <v>2</v>
      </c>
      <c r="H238" s="160" t="str">
        <f>Capacity!$L$35</f>
        <v/>
      </c>
      <c r="I238" s="160">
        <f>Capacity!$M$35</f>
        <v>1140</v>
      </c>
      <c r="J238" s="160" t="str">
        <f>Capacity!$N$35</f>
        <v/>
      </c>
      <c r="K238" s="160" t="str">
        <f>Capacity!$O$35</f>
        <v/>
      </c>
      <c r="L238" s="164" t="s">
        <v>4</v>
      </c>
      <c r="M238" s="163">
        <f>Capacity!$V$35</f>
        <v>2.2105263157894739</v>
      </c>
      <c r="N238" s="163">
        <f>Capacity!$W$35</f>
        <v>3</v>
      </c>
      <c r="O238" s="163">
        <f>Capacity!$X$35</f>
        <v>0.78947368421052611</v>
      </c>
    </row>
    <row r="239" spans="1:15" x14ac:dyDescent="0.35">
      <c r="A239" s="160" t="s">
        <v>32</v>
      </c>
      <c r="B239" s="160">
        <v>3</v>
      </c>
      <c r="C239" s="160" t="s">
        <v>40</v>
      </c>
      <c r="D239" s="160" t="s">
        <v>10</v>
      </c>
      <c r="E239" s="160">
        <f>Capacity!$G$35</f>
        <v>3</v>
      </c>
      <c r="F239" s="160">
        <f>Capacity!$J$35</f>
        <v>3</v>
      </c>
      <c r="G239" s="160">
        <f>Capacity!$K$35</f>
        <v>2</v>
      </c>
      <c r="H239" s="160" t="str">
        <f>Capacity!$L$35</f>
        <v/>
      </c>
      <c r="I239" s="160">
        <f>Capacity!$M$35</f>
        <v>1140</v>
      </c>
      <c r="J239" s="160" t="str">
        <f>Capacity!$N$35</f>
        <v/>
      </c>
      <c r="K239" s="160" t="str">
        <f>Capacity!$O$35</f>
        <v/>
      </c>
      <c r="L239" s="164" t="s">
        <v>4</v>
      </c>
      <c r="M239" s="163">
        <f>Capacity!$V$35</f>
        <v>2.2105263157894739</v>
      </c>
      <c r="N239" s="163">
        <f>Capacity!$W$35</f>
        <v>3</v>
      </c>
      <c r="O239" s="163">
        <f>Capacity!$X$35</f>
        <v>0.78947368421052611</v>
      </c>
    </row>
    <row r="240" spans="1:15" x14ac:dyDescent="0.35">
      <c r="A240" s="160" t="s">
        <v>32</v>
      </c>
      <c r="B240" s="160">
        <v>3</v>
      </c>
      <c r="C240" s="160" t="s">
        <v>40</v>
      </c>
      <c r="D240" s="160" t="s">
        <v>11</v>
      </c>
      <c r="E240" s="160">
        <f>Capacity!$H$35</f>
        <v>3</v>
      </c>
      <c r="F240" s="160">
        <f>Capacity!$J$35</f>
        <v>3</v>
      </c>
      <c r="G240" s="160">
        <f>Capacity!$K$35</f>
        <v>2</v>
      </c>
      <c r="H240" s="160" t="str">
        <f>Capacity!$L$35</f>
        <v/>
      </c>
      <c r="I240" s="160">
        <f>Capacity!$M$35</f>
        <v>1140</v>
      </c>
      <c r="J240" s="160" t="str">
        <f>Capacity!$N$35</f>
        <v/>
      </c>
      <c r="K240" s="160" t="str">
        <f>Capacity!$O$35</f>
        <v/>
      </c>
      <c r="L240" s="164" t="s">
        <v>4</v>
      </c>
      <c r="M240" s="163">
        <f>Capacity!$V$35</f>
        <v>2.2105263157894739</v>
      </c>
      <c r="N240" s="163">
        <f>Capacity!$W$35</f>
        <v>3</v>
      </c>
      <c r="O240" s="163">
        <f>Capacity!$X$35</f>
        <v>0.78947368421052611</v>
      </c>
    </row>
    <row r="241" spans="1:15" x14ac:dyDescent="0.35">
      <c r="A241" s="160" t="s">
        <v>32</v>
      </c>
      <c r="B241" s="160">
        <v>3</v>
      </c>
      <c r="C241" s="160" t="s">
        <v>40</v>
      </c>
      <c r="D241" s="160" t="s">
        <v>12</v>
      </c>
      <c r="E241" s="160">
        <f>Capacity!$I$35</f>
        <v>3</v>
      </c>
      <c r="F241" s="160">
        <f>Capacity!$J$35</f>
        <v>3</v>
      </c>
      <c r="G241" s="160">
        <f>Capacity!$K$35</f>
        <v>2</v>
      </c>
      <c r="H241" s="160" t="str">
        <f>Capacity!$L$35</f>
        <v/>
      </c>
      <c r="I241" s="160">
        <f>Capacity!$M$35</f>
        <v>1140</v>
      </c>
      <c r="J241" s="160" t="str">
        <f>Capacity!$N$35</f>
        <v/>
      </c>
      <c r="K241" s="160" t="str">
        <f>Capacity!$O$35</f>
        <v/>
      </c>
      <c r="L241" s="168" t="s">
        <v>4</v>
      </c>
      <c r="M241" s="167">
        <f>Capacity!$V$35</f>
        <v>2.2105263157894739</v>
      </c>
      <c r="N241" s="167">
        <f>Capacity!$W$35</f>
        <v>3</v>
      </c>
      <c r="O241" s="167">
        <f>Capacity!$X$35</f>
        <v>0.78947368421052611</v>
      </c>
    </row>
    <row r="242" spans="1:15" x14ac:dyDescent="0.35">
      <c r="A242" s="160" t="s">
        <v>32</v>
      </c>
      <c r="B242" s="160">
        <v>3</v>
      </c>
      <c r="C242" s="160" t="s">
        <v>40</v>
      </c>
      <c r="D242" s="160" t="s">
        <v>8</v>
      </c>
      <c r="E242" s="160">
        <f>Capacity!$E$35</f>
        <v>0</v>
      </c>
      <c r="F242" s="160">
        <f>Capacity!$J$35</f>
        <v>3</v>
      </c>
      <c r="G242" s="160">
        <f>Capacity!$K$35</f>
        <v>2</v>
      </c>
      <c r="H242" s="160" t="str">
        <f>Capacity!$L$35</f>
        <v/>
      </c>
      <c r="I242" s="160">
        <f>Capacity!$M$35</f>
        <v>1140</v>
      </c>
      <c r="J242" s="160" t="str">
        <f>Capacity!$N$35</f>
        <v/>
      </c>
      <c r="K242" s="161" t="str">
        <f>Capacity!$O$35</f>
        <v/>
      </c>
      <c r="L242" s="160" t="s">
        <v>56</v>
      </c>
      <c r="M242" s="170">
        <f>Capacity!$Y$35</f>
        <v>71.489361702127653</v>
      </c>
      <c r="N242" s="163">
        <f>Capacity!$Z$35</f>
        <v>97.021276595744681</v>
      </c>
      <c r="O242" s="163">
        <f>Capacity!$AA$35</f>
        <v>25.531914893617028</v>
      </c>
    </row>
    <row r="243" spans="1:15" x14ac:dyDescent="0.35">
      <c r="A243" s="160" t="s">
        <v>32</v>
      </c>
      <c r="B243" s="160">
        <v>3</v>
      </c>
      <c r="C243" s="160" t="s">
        <v>40</v>
      </c>
      <c r="D243" s="160" t="s">
        <v>55</v>
      </c>
      <c r="E243" s="160">
        <f>Capacity!$F$35</f>
        <v>3</v>
      </c>
      <c r="F243" s="160">
        <f>Capacity!$J$35</f>
        <v>3</v>
      </c>
      <c r="G243" s="160">
        <f>Capacity!$K$35</f>
        <v>2</v>
      </c>
      <c r="H243" s="160" t="str">
        <f>Capacity!$L$35</f>
        <v/>
      </c>
      <c r="I243" s="160">
        <f>Capacity!$M$35</f>
        <v>1140</v>
      </c>
      <c r="J243" s="160" t="str">
        <f>Capacity!$N$35</f>
        <v/>
      </c>
      <c r="K243" s="161" t="str">
        <f>Capacity!$O$35</f>
        <v/>
      </c>
      <c r="L243" s="160" t="s">
        <v>56</v>
      </c>
      <c r="M243" s="170">
        <f>Capacity!$Y$35</f>
        <v>71.489361702127653</v>
      </c>
      <c r="N243" s="163">
        <f>Capacity!$Z$35</f>
        <v>97.021276595744681</v>
      </c>
      <c r="O243" s="163">
        <f>Capacity!$AA$35</f>
        <v>25.531914893617028</v>
      </c>
    </row>
    <row r="244" spans="1:15" x14ac:dyDescent="0.35">
      <c r="A244" s="160" t="s">
        <v>32</v>
      </c>
      <c r="B244" s="160">
        <v>3</v>
      </c>
      <c r="C244" s="160" t="s">
        <v>40</v>
      </c>
      <c r="D244" s="160" t="s">
        <v>10</v>
      </c>
      <c r="E244" s="160">
        <f>Capacity!$G$35</f>
        <v>3</v>
      </c>
      <c r="F244" s="160">
        <f>Capacity!$J$35</f>
        <v>3</v>
      </c>
      <c r="G244" s="160">
        <f>Capacity!$K$35</f>
        <v>2</v>
      </c>
      <c r="H244" s="160" t="str">
        <f>Capacity!$L$35</f>
        <v/>
      </c>
      <c r="I244" s="160">
        <f>Capacity!$M$35</f>
        <v>1140</v>
      </c>
      <c r="J244" s="160" t="str">
        <f>Capacity!$N$35</f>
        <v/>
      </c>
      <c r="K244" s="161" t="str">
        <f>Capacity!$O$35</f>
        <v/>
      </c>
      <c r="L244" s="160" t="s">
        <v>56</v>
      </c>
      <c r="M244" s="170">
        <f>Capacity!$Y$35</f>
        <v>71.489361702127653</v>
      </c>
      <c r="N244" s="163">
        <f>Capacity!$Z$35</f>
        <v>97.021276595744681</v>
      </c>
      <c r="O244" s="163">
        <f>Capacity!$AA$35</f>
        <v>25.531914893617028</v>
      </c>
    </row>
    <row r="245" spans="1:15" x14ac:dyDescent="0.35">
      <c r="A245" s="160" t="s">
        <v>32</v>
      </c>
      <c r="B245" s="160">
        <v>3</v>
      </c>
      <c r="C245" s="160" t="s">
        <v>40</v>
      </c>
      <c r="D245" s="160" t="s">
        <v>11</v>
      </c>
      <c r="E245" s="160">
        <f>Capacity!$H$35</f>
        <v>3</v>
      </c>
      <c r="F245" s="160">
        <f>Capacity!$J$35</f>
        <v>3</v>
      </c>
      <c r="G245" s="160">
        <f>Capacity!$K$35</f>
        <v>2</v>
      </c>
      <c r="H245" s="160" t="str">
        <f>Capacity!$L$35</f>
        <v/>
      </c>
      <c r="I245" s="160">
        <f>Capacity!$M$35</f>
        <v>1140</v>
      </c>
      <c r="J245" s="160" t="str">
        <f>Capacity!$N$35</f>
        <v/>
      </c>
      <c r="K245" s="161" t="str">
        <f>Capacity!$O$35</f>
        <v/>
      </c>
      <c r="L245" s="160" t="s">
        <v>56</v>
      </c>
      <c r="M245" s="170">
        <f>Capacity!$Y$35</f>
        <v>71.489361702127653</v>
      </c>
      <c r="N245" s="163">
        <f>Capacity!$Z$35</f>
        <v>97.021276595744681</v>
      </c>
      <c r="O245" s="163">
        <f>Capacity!$AA$35</f>
        <v>25.531914893617028</v>
      </c>
    </row>
    <row r="246" spans="1:15" x14ac:dyDescent="0.35">
      <c r="A246" s="165" t="s">
        <v>32</v>
      </c>
      <c r="B246" s="165">
        <v>3</v>
      </c>
      <c r="C246" s="165" t="s">
        <v>40</v>
      </c>
      <c r="D246" s="165" t="s">
        <v>12</v>
      </c>
      <c r="E246" s="165">
        <f>Capacity!$I$35</f>
        <v>3</v>
      </c>
      <c r="F246" s="165">
        <f>Capacity!$J$35</f>
        <v>3</v>
      </c>
      <c r="G246" s="165">
        <f>Capacity!$K$35</f>
        <v>2</v>
      </c>
      <c r="H246" s="165" t="str">
        <f>Capacity!$L$35</f>
        <v/>
      </c>
      <c r="I246" s="165">
        <f>Capacity!$M$35</f>
        <v>1140</v>
      </c>
      <c r="J246" s="165" t="str">
        <f>Capacity!$N$35</f>
        <v/>
      </c>
      <c r="K246" s="171" t="str">
        <f>Capacity!$O$35</f>
        <v/>
      </c>
      <c r="L246" s="165" t="s">
        <v>56</v>
      </c>
      <c r="M246" s="172">
        <f>Capacity!$Y$35</f>
        <v>71.489361702127653</v>
      </c>
      <c r="N246" s="167">
        <f>Capacity!$Z$35</f>
        <v>97.021276595744681</v>
      </c>
      <c r="O246" s="167">
        <f>Capacity!$AA$35</f>
        <v>25.531914893617028</v>
      </c>
    </row>
    <row r="247" spans="1:15" x14ac:dyDescent="0.35">
      <c r="A247" s="160" t="s">
        <v>33</v>
      </c>
      <c r="B247" s="160">
        <v>4</v>
      </c>
      <c r="C247" s="160" t="s">
        <v>40</v>
      </c>
      <c r="D247" s="160" t="s">
        <v>8</v>
      </c>
      <c r="E247" s="160">
        <f>Capacity!$E$36</f>
        <v>0</v>
      </c>
      <c r="F247" s="160">
        <f>Capacity!$J$36</f>
        <v>3</v>
      </c>
      <c r="G247" s="160">
        <f>Capacity!$K$36</f>
        <v>2</v>
      </c>
      <c r="H247" s="160" t="str">
        <f>Capacity!$L$36</f>
        <v/>
      </c>
      <c r="I247" s="160">
        <f>Capacity!$M$36</f>
        <v>1140</v>
      </c>
      <c r="J247" s="160" t="str">
        <f>Capacity!$N$36</f>
        <v/>
      </c>
      <c r="K247" s="160" t="str">
        <f>Capacity!$O$36</f>
        <v/>
      </c>
      <c r="L247" s="160" t="s">
        <v>2</v>
      </c>
      <c r="M247" s="160">
        <f>Capacity!$P$36</f>
        <v>840</v>
      </c>
      <c r="N247" s="160">
        <f>Capacity!$Q$36</f>
        <v>1140</v>
      </c>
      <c r="O247" s="160">
        <f>Capacity!$R$36</f>
        <v>300</v>
      </c>
    </row>
    <row r="248" spans="1:15" x14ac:dyDescent="0.35">
      <c r="A248" s="160" t="s">
        <v>33</v>
      </c>
      <c r="B248" s="160">
        <v>4</v>
      </c>
      <c r="C248" s="160" t="s">
        <v>40</v>
      </c>
      <c r="D248" s="160" t="s">
        <v>55</v>
      </c>
      <c r="E248" s="160">
        <f>Capacity!$F$36</f>
        <v>3</v>
      </c>
      <c r="F248" s="160">
        <f>Capacity!$J$36</f>
        <v>3</v>
      </c>
      <c r="G248" s="160">
        <f>Capacity!$K$36</f>
        <v>2</v>
      </c>
      <c r="H248" s="160" t="str">
        <f>Capacity!$L$36</f>
        <v/>
      </c>
      <c r="I248" s="160">
        <f>Capacity!$M$36</f>
        <v>1140</v>
      </c>
      <c r="J248" s="160" t="str">
        <f>Capacity!$N$36</f>
        <v/>
      </c>
      <c r="K248" s="160" t="str">
        <f>Capacity!$O$36</f>
        <v/>
      </c>
      <c r="L248" s="160" t="s">
        <v>2</v>
      </c>
      <c r="M248" s="160">
        <f>Capacity!$P$36</f>
        <v>840</v>
      </c>
      <c r="N248" s="160">
        <f>Capacity!$Q$36</f>
        <v>1140</v>
      </c>
      <c r="O248" s="160">
        <f>Capacity!$R$36</f>
        <v>300</v>
      </c>
    </row>
    <row r="249" spans="1:15" x14ac:dyDescent="0.35">
      <c r="A249" s="160" t="s">
        <v>33</v>
      </c>
      <c r="B249" s="160">
        <v>4</v>
      </c>
      <c r="C249" s="160" t="s">
        <v>40</v>
      </c>
      <c r="D249" s="160" t="s">
        <v>10</v>
      </c>
      <c r="E249" s="160">
        <f>Capacity!$G$36</f>
        <v>3</v>
      </c>
      <c r="F249" s="160">
        <f>Capacity!$J$36</f>
        <v>3</v>
      </c>
      <c r="G249" s="160">
        <f>Capacity!$K$36</f>
        <v>2</v>
      </c>
      <c r="H249" s="160" t="str">
        <f>Capacity!$L$36</f>
        <v/>
      </c>
      <c r="I249" s="160">
        <f>Capacity!$M$36</f>
        <v>1140</v>
      </c>
      <c r="J249" s="160" t="str">
        <f>Capacity!$N$36</f>
        <v/>
      </c>
      <c r="K249" s="160" t="str">
        <f>Capacity!$O$36</f>
        <v/>
      </c>
      <c r="L249" s="160" t="s">
        <v>2</v>
      </c>
      <c r="M249" s="160">
        <f>Capacity!$P$36</f>
        <v>840</v>
      </c>
      <c r="N249" s="160">
        <f>Capacity!$Q$36</f>
        <v>1140</v>
      </c>
      <c r="O249" s="160">
        <f>Capacity!$R$36</f>
        <v>300</v>
      </c>
    </row>
    <row r="250" spans="1:15" x14ac:dyDescent="0.35">
      <c r="A250" s="160" t="s">
        <v>33</v>
      </c>
      <c r="B250" s="160">
        <v>4</v>
      </c>
      <c r="C250" s="160" t="s">
        <v>40</v>
      </c>
      <c r="D250" s="160" t="s">
        <v>11</v>
      </c>
      <c r="E250" s="160">
        <f>Capacity!$H$36</f>
        <v>3</v>
      </c>
      <c r="F250" s="160">
        <f>Capacity!$J$36</f>
        <v>3</v>
      </c>
      <c r="G250" s="160">
        <f>Capacity!$K$36</f>
        <v>2</v>
      </c>
      <c r="H250" s="160" t="str">
        <f>Capacity!$L$36</f>
        <v/>
      </c>
      <c r="I250" s="160">
        <f>Capacity!$M$36</f>
        <v>1140</v>
      </c>
      <c r="J250" s="160" t="str">
        <f>Capacity!$N$36</f>
        <v/>
      </c>
      <c r="K250" s="160" t="str">
        <f>Capacity!$O$36</f>
        <v/>
      </c>
      <c r="L250" s="160" t="s">
        <v>2</v>
      </c>
      <c r="M250" s="160">
        <f>Capacity!$P$36</f>
        <v>840</v>
      </c>
      <c r="N250" s="160">
        <f>Capacity!$Q$36</f>
        <v>1140</v>
      </c>
      <c r="O250" s="160">
        <f>Capacity!$R$36</f>
        <v>300</v>
      </c>
    </row>
    <row r="251" spans="1:15" x14ac:dyDescent="0.35">
      <c r="A251" s="160" t="s">
        <v>33</v>
      </c>
      <c r="B251" s="160">
        <v>4</v>
      </c>
      <c r="C251" s="160" t="s">
        <v>40</v>
      </c>
      <c r="D251" s="160" t="s">
        <v>12</v>
      </c>
      <c r="E251" s="160">
        <f>Capacity!$I$36</f>
        <v>3</v>
      </c>
      <c r="F251" s="160">
        <f>Capacity!$J$36</f>
        <v>3</v>
      </c>
      <c r="G251" s="160">
        <f>Capacity!$K$36</f>
        <v>2</v>
      </c>
      <c r="H251" s="160" t="str">
        <f>Capacity!$L$36</f>
        <v/>
      </c>
      <c r="I251" s="160">
        <f>Capacity!$M$36</f>
        <v>1140</v>
      </c>
      <c r="J251" s="160" t="str">
        <f>Capacity!$N$36</f>
        <v/>
      </c>
      <c r="K251" s="160" t="str">
        <f>Capacity!$O$36</f>
        <v/>
      </c>
      <c r="L251" s="165" t="s">
        <v>2</v>
      </c>
      <c r="M251" s="165">
        <f>Capacity!$P$36</f>
        <v>840</v>
      </c>
      <c r="N251" s="165">
        <f>Capacity!$Q$36</f>
        <v>1140</v>
      </c>
      <c r="O251" s="165">
        <f>Capacity!$R$36</f>
        <v>300</v>
      </c>
    </row>
    <row r="252" spans="1:15" x14ac:dyDescent="0.35">
      <c r="A252" s="160" t="s">
        <v>33</v>
      </c>
      <c r="B252" s="160">
        <v>4</v>
      </c>
      <c r="C252" s="160" t="s">
        <v>40</v>
      </c>
      <c r="D252" s="160" t="s">
        <v>8</v>
      </c>
      <c r="E252" s="160">
        <f>Capacity!$E$36</f>
        <v>0</v>
      </c>
      <c r="F252" s="160">
        <f>Capacity!$J$36</f>
        <v>3</v>
      </c>
      <c r="G252" s="160">
        <f>Capacity!$K$36</f>
        <v>2</v>
      </c>
      <c r="H252" s="160" t="str">
        <f>Capacity!$L$36</f>
        <v/>
      </c>
      <c r="I252" s="160">
        <f>Capacity!$M$36</f>
        <v>1140</v>
      </c>
      <c r="J252" s="160" t="str">
        <f>Capacity!$N$36</f>
        <v/>
      </c>
      <c r="K252" s="161" t="str">
        <f>Capacity!$O$36</f>
        <v/>
      </c>
      <c r="L252" s="160" t="s">
        <v>3</v>
      </c>
      <c r="M252" s="163">
        <f>Capacity!$S$36</f>
        <v>4.4210526315789478</v>
      </c>
      <c r="N252" s="163">
        <f>Capacity!$T$36</f>
        <v>6</v>
      </c>
      <c r="O252" s="163">
        <f>Capacity!$U$36</f>
        <v>1.5789473684210522</v>
      </c>
    </row>
    <row r="253" spans="1:15" x14ac:dyDescent="0.35">
      <c r="A253" s="160" t="s">
        <v>33</v>
      </c>
      <c r="B253" s="160">
        <v>4</v>
      </c>
      <c r="C253" s="160" t="s">
        <v>40</v>
      </c>
      <c r="D253" s="160" t="s">
        <v>55</v>
      </c>
      <c r="E253" s="160">
        <f>Capacity!$F$36</f>
        <v>3</v>
      </c>
      <c r="F253" s="160">
        <f>Capacity!$J$36</f>
        <v>3</v>
      </c>
      <c r="G253" s="160">
        <f>Capacity!$K$36</f>
        <v>2</v>
      </c>
      <c r="H253" s="160" t="str">
        <f>Capacity!$L$36</f>
        <v/>
      </c>
      <c r="I253" s="160">
        <f>Capacity!$M$36</f>
        <v>1140</v>
      </c>
      <c r="J253" s="160" t="str">
        <f>Capacity!$N$36</f>
        <v/>
      </c>
      <c r="K253" s="161" t="str">
        <f>Capacity!$O$36</f>
        <v/>
      </c>
      <c r="L253" s="160" t="s">
        <v>3</v>
      </c>
      <c r="M253" s="163">
        <f>Capacity!$S$36</f>
        <v>4.4210526315789478</v>
      </c>
      <c r="N253" s="163">
        <f>Capacity!$T$36</f>
        <v>6</v>
      </c>
      <c r="O253" s="163">
        <f>Capacity!$U$36</f>
        <v>1.5789473684210522</v>
      </c>
    </row>
    <row r="254" spans="1:15" x14ac:dyDescent="0.35">
      <c r="A254" s="160" t="s">
        <v>33</v>
      </c>
      <c r="B254" s="160">
        <v>4</v>
      </c>
      <c r="C254" s="160" t="s">
        <v>40</v>
      </c>
      <c r="D254" s="160" t="s">
        <v>10</v>
      </c>
      <c r="E254" s="160">
        <f>Capacity!$G$36</f>
        <v>3</v>
      </c>
      <c r="F254" s="160">
        <f>Capacity!$J$36</f>
        <v>3</v>
      </c>
      <c r="G254" s="160">
        <f>Capacity!$K$36</f>
        <v>2</v>
      </c>
      <c r="H254" s="160" t="str">
        <f>Capacity!$L$36</f>
        <v/>
      </c>
      <c r="I254" s="160">
        <f>Capacity!$M$36</f>
        <v>1140</v>
      </c>
      <c r="J254" s="160" t="str">
        <f>Capacity!$N$36</f>
        <v/>
      </c>
      <c r="K254" s="161" t="str">
        <f>Capacity!$O$36</f>
        <v/>
      </c>
      <c r="L254" s="160" t="s">
        <v>3</v>
      </c>
      <c r="M254" s="163">
        <f>Capacity!$S$36</f>
        <v>4.4210526315789478</v>
      </c>
      <c r="N254" s="163">
        <f>Capacity!$T$36</f>
        <v>6</v>
      </c>
      <c r="O254" s="163">
        <f>Capacity!$U$36</f>
        <v>1.5789473684210522</v>
      </c>
    </row>
    <row r="255" spans="1:15" x14ac:dyDescent="0.35">
      <c r="A255" s="160" t="s">
        <v>33</v>
      </c>
      <c r="B255" s="160">
        <v>4</v>
      </c>
      <c r="C255" s="160" t="s">
        <v>40</v>
      </c>
      <c r="D255" s="160" t="s">
        <v>11</v>
      </c>
      <c r="E255" s="160">
        <f>Capacity!$H$36</f>
        <v>3</v>
      </c>
      <c r="F255" s="160">
        <f>Capacity!$J$36</f>
        <v>3</v>
      </c>
      <c r="G255" s="160">
        <f>Capacity!$K$36</f>
        <v>2</v>
      </c>
      <c r="H255" s="160" t="str">
        <f>Capacity!$L$36</f>
        <v/>
      </c>
      <c r="I255" s="160">
        <f>Capacity!$M$36</f>
        <v>1140</v>
      </c>
      <c r="J255" s="160" t="str">
        <f>Capacity!$N$36</f>
        <v/>
      </c>
      <c r="K255" s="161" t="str">
        <f>Capacity!$O$36</f>
        <v/>
      </c>
      <c r="L255" s="160" t="s">
        <v>3</v>
      </c>
      <c r="M255" s="163">
        <f>Capacity!$S$36</f>
        <v>4.4210526315789478</v>
      </c>
      <c r="N255" s="163">
        <f>Capacity!$T$36</f>
        <v>6</v>
      </c>
      <c r="O255" s="163">
        <f>Capacity!$U$36</f>
        <v>1.5789473684210522</v>
      </c>
    </row>
    <row r="256" spans="1:15" x14ac:dyDescent="0.35">
      <c r="A256" s="160" t="s">
        <v>33</v>
      </c>
      <c r="B256" s="160">
        <v>4</v>
      </c>
      <c r="C256" s="160" t="s">
        <v>40</v>
      </c>
      <c r="D256" s="160" t="s">
        <v>12</v>
      </c>
      <c r="E256" s="160">
        <f>Capacity!$I$36</f>
        <v>3</v>
      </c>
      <c r="F256" s="160">
        <f>Capacity!$J$36</f>
        <v>3</v>
      </c>
      <c r="G256" s="160">
        <f>Capacity!$K$36</f>
        <v>2</v>
      </c>
      <c r="H256" s="160" t="str">
        <f>Capacity!$L$36</f>
        <v/>
      </c>
      <c r="I256" s="160">
        <f>Capacity!$M$36</f>
        <v>1140</v>
      </c>
      <c r="J256" s="160" t="str">
        <f>Capacity!$N$36</f>
        <v/>
      </c>
      <c r="K256" s="161" t="str">
        <f>Capacity!$O$36</f>
        <v/>
      </c>
      <c r="L256" s="165" t="s">
        <v>3</v>
      </c>
      <c r="M256" s="167">
        <f>Capacity!$S$36</f>
        <v>4.4210526315789478</v>
      </c>
      <c r="N256" s="167">
        <f>Capacity!$T$36</f>
        <v>6</v>
      </c>
      <c r="O256" s="167">
        <f>Capacity!$U$36</f>
        <v>1.5789473684210522</v>
      </c>
    </row>
    <row r="257" spans="1:15" x14ac:dyDescent="0.35">
      <c r="A257" s="160" t="s">
        <v>33</v>
      </c>
      <c r="B257" s="160">
        <v>4</v>
      </c>
      <c r="C257" s="160" t="s">
        <v>40</v>
      </c>
      <c r="D257" s="160" t="s">
        <v>8</v>
      </c>
      <c r="E257" s="160">
        <f>Capacity!$E$36</f>
        <v>0</v>
      </c>
      <c r="F257" s="160">
        <f>Capacity!$J$36</f>
        <v>3</v>
      </c>
      <c r="G257" s="160">
        <f>Capacity!$K$36</f>
        <v>2</v>
      </c>
      <c r="H257" s="160" t="str">
        <f>Capacity!$L$36</f>
        <v/>
      </c>
      <c r="I257" s="160">
        <f>Capacity!$M$36</f>
        <v>1140</v>
      </c>
      <c r="J257" s="160" t="str">
        <f>Capacity!$N$36</f>
        <v/>
      </c>
      <c r="K257" s="161" t="str">
        <f>Capacity!$O$36</f>
        <v/>
      </c>
      <c r="L257" s="160" t="s">
        <v>4</v>
      </c>
      <c r="M257" s="166">
        <f>Capacity!$V$36</f>
        <v>2.2105263157894739</v>
      </c>
      <c r="N257" s="166">
        <f>Capacity!$W$36</f>
        <v>3</v>
      </c>
      <c r="O257" s="166">
        <f>Capacity!$X$36</f>
        <v>0.78947368421052611</v>
      </c>
    </row>
    <row r="258" spans="1:15" x14ac:dyDescent="0.35">
      <c r="A258" s="160" t="s">
        <v>33</v>
      </c>
      <c r="B258" s="160">
        <v>4</v>
      </c>
      <c r="C258" s="160" t="s">
        <v>40</v>
      </c>
      <c r="D258" s="160" t="s">
        <v>55</v>
      </c>
      <c r="E258" s="160">
        <f>Capacity!$F$36</f>
        <v>3</v>
      </c>
      <c r="F258" s="160">
        <f>Capacity!$J$36</f>
        <v>3</v>
      </c>
      <c r="G258" s="160">
        <f>Capacity!$K$36</f>
        <v>2</v>
      </c>
      <c r="H258" s="160" t="str">
        <f>Capacity!$L$36</f>
        <v/>
      </c>
      <c r="I258" s="160">
        <f>Capacity!$M$36</f>
        <v>1140</v>
      </c>
      <c r="J258" s="160" t="str">
        <f>Capacity!$N$36</f>
        <v/>
      </c>
      <c r="K258" s="161" t="str">
        <f>Capacity!$O$36</f>
        <v/>
      </c>
      <c r="L258" s="160" t="s">
        <v>4</v>
      </c>
      <c r="M258" s="166">
        <f>Capacity!$V$36</f>
        <v>2.2105263157894739</v>
      </c>
      <c r="N258" s="166">
        <f>Capacity!$W$36</f>
        <v>3</v>
      </c>
      <c r="O258" s="166">
        <f>Capacity!$X$36</f>
        <v>0.78947368421052611</v>
      </c>
    </row>
    <row r="259" spans="1:15" x14ac:dyDescent="0.35">
      <c r="A259" s="160" t="s">
        <v>33</v>
      </c>
      <c r="B259" s="160">
        <v>4</v>
      </c>
      <c r="C259" s="160" t="s">
        <v>40</v>
      </c>
      <c r="D259" s="160" t="s">
        <v>10</v>
      </c>
      <c r="E259" s="160">
        <f>Capacity!$G$36</f>
        <v>3</v>
      </c>
      <c r="F259" s="160">
        <f>Capacity!$J$36</f>
        <v>3</v>
      </c>
      <c r="G259" s="160">
        <f>Capacity!$K$36</f>
        <v>2</v>
      </c>
      <c r="H259" s="160" t="str">
        <f>Capacity!$L$36</f>
        <v/>
      </c>
      <c r="I259" s="160">
        <f>Capacity!$M$36</f>
        <v>1140</v>
      </c>
      <c r="J259" s="160" t="str">
        <f>Capacity!$N$36</f>
        <v/>
      </c>
      <c r="K259" s="161" t="str">
        <f>Capacity!$O$36</f>
        <v/>
      </c>
      <c r="L259" s="160" t="s">
        <v>4</v>
      </c>
      <c r="M259" s="166">
        <f>Capacity!$V$36</f>
        <v>2.2105263157894739</v>
      </c>
      <c r="N259" s="166">
        <f>Capacity!$W$36</f>
        <v>3</v>
      </c>
      <c r="O259" s="166">
        <f>Capacity!$X$36</f>
        <v>0.78947368421052611</v>
      </c>
    </row>
    <row r="260" spans="1:15" x14ac:dyDescent="0.35">
      <c r="A260" s="160" t="s">
        <v>33</v>
      </c>
      <c r="B260" s="160">
        <v>4</v>
      </c>
      <c r="C260" s="160" t="s">
        <v>40</v>
      </c>
      <c r="D260" s="160" t="s">
        <v>11</v>
      </c>
      <c r="E260" s="160">
        <f>Capacity!$H$36</f>
        <v>3</v>
      </c>
      <c r="F260" s="160">
        <f>Capacity!$J$36</f>
        <v>3</v>
      </c>
      <c r="G260" s="160">
        <f>Capacity!$K$36</f>
        <v>2</v>
      </c>
      <c r="H260" s="160" t="str">
        <f>Capacity!$L$36</f>
        <v/>
      </c>
      <c r="I260" s="160">
        <f>Capacity!$M$36</f>
        <v>1140</v>
      </c>
      <c r="J260" s="160" t="str">
        <f>Capacity!$N$36</f>
        <v/>
      </c>
      <c r="K260" s="161" t="str">
        <f>Capacity!$O$36</f>
        <v/>
      </c>
      <c r="L260" s="160" t="s">
        <v>4</v>
      </c>
      <c r="M260" s="166">
        <f>Capacity!$V$36</f>
        <v>2.2105263157894739</v>
      </c>
      <c r="N260" s="166">
        <f>Capacity!$W$36</f>
        <v>3</v>
      </c>
      <c r="O260" s="166">
        <f>Capacity!$X$36</f>
        <v>0.78947368421052611</v>
      </c>
    </row>
    <row r="261" spans="1:15" x14ac:dyDescent="0.35">
      <c r="A261" s="160" t="s">
        <v>33</v>
      </c>
      <c r="B261" s="160">
        <v>4</v>
      </c>
      <c r="C261" s="160" t="s">
        <v>40</v>
      </c>
      <c r="D261" s="160" t="s">
        <v>12</v>
      </c>
      <c r="E261" s="160">
        <f>Capacity!$I$36</f>
        <v>3</v>
      </c>
      <c r="F261" s="160">
        <f>Capacity!$J$36</f>
        <v>3</v>
      </c>
      <c r="G261" s="160">
        <f>Capacity!$K$36</f>
        <v>2</v>
      </c>
      <c r="H261" s="160" t="str">
        <f>Capacity!$L$36</f>
        <v/>
      </c>
      <c r="I261" s="160">
        <f>Capacity!$M$36</f>
        <v>1140</v>
      </c>
      <c r="J261" s="160" t="str">
        <f>Capacity!$N$36</f>
        <v/>
      </c>
      <c r="K261" s="161" t="str">
        <f>Capacity!$O$36</f>
        <v/>
      </c>
      <c r="L261" s="165" t="s">
        <v>4</v>
      </c>
      <c r="M261" s="169">
        <f>Capacity!$V$36</f>
        <v>2.2105263157894739</v>
      </c>
      <c r="N261" s="169">
        <f>Capacity!$W$36</f>
        <v>3</v>
      </c>
      <c r="O261" s="169">
        <f>Capacity!$X$36</f>
        <v>0.78947368421052611</v>
      </c>
    </row>
    <row r="262" spans="1:15" x14ac:dyDescent="0.35">
      <c r="A262" s="160" t="s">
        <v>33</v>
      </c>
      <c r="B262" s="160">
        <v>4</v>
      </c>
      <c r="C262" s="160" t="s">
        <v>40</v>
      </c>
      <c r="D262" s="160" t="s">
        <v>8</v>
      </c>
      <c r="E262" s="160">
        <f>Capacity!$E$36</f>
        <v>0</v>
      </c>
      <c r="F262" s="160">
        <f>Capacity!$J$36</f>
        <v>3</v>
      </c>
      <c r="G262" s="160">
        <f>Capacity!$K$36</f>
        <v>2</v>
      </c>
      <c r="H262" s="160" t="str">
        <f>Capacity!$L$36</f>
        <v/>
      </c>
      <c r="I262" s="160">
        <f>Capacity!$M$36</f>
        <v>1140</v>
      </c>
      <c r="J262" s="160" t="str">
        <f>Capacity!$N$36</f>
        <v/>
      </c>
      <c r="K262" s="161" t="str">
        <f>Capacity!$O$36</f>
        <v/>
      </c>
      <c r="L262" s="160" t="s">
        <v>56</v>
      </c>
      <c r="M262" s="163">
        <f>Capacity!$Y$36</f>
        <v>71.489361702127653</v>
      </c>
      <c r="N262" s="163">
        <f>Capacity!$Z$36</f>
        <v>97.021276595744681</v>
      </c>
      <c r="O262" s="163">
        <f>Capacity!$AA$36</f>
        <v>25.531914893617028</v>
      </c>
    </row>
    <row r="263" spans="1:15" x14ac:dyDescent="0.35">
      <c r="A263" s="160" t="s">
        <v>33</v>
      </c>
      <c r="B263" s="160">
        <v>4</v>
      </c>
      <c r="C263" s="160" t="s">
        <v>40</v>
      </c>
      <c r="D263" s="160" t="s">
        <v>55</v>
      </c>
      <c r="E263" s="160">
        <f>Capacity!$F$36</f>
        <v>3</v>
      </c>
      <c r="F263" s="160">
        <f>Capacity!$J$36</f>
        <v>3</v>
      </c>
      <c r="G263" s="160">
        <f>Capacity!$K$36</f>
        <v>2</v>
      </c>
      <c r="H263" s="160" t="str">
        <f>Capacity!$L$36</f>
        <v/>
      </c>
      <c r="I263" s="160">
        <f>Capacity!$M$36</f>
        <v>1140</v>
      </c>
      <c r="J263" s="160" t="str">
        <f>Capacity!$N$36</f>
        <v/>
      </c>
      <c r="K263" s="161" t="str">
        <f>Capacity!$O$36</f>
        <v/>
      </c>
      <c r="L263" s="160" t="s">
        <v>56</v>
      </c>
      <c r="M263" s="163">
        <f>Capacity!$Y$36</f>
        <v>71.489361702127653</v>
      </c>
      <c r="N263" s="163">
        <f>Capacity!$Z$36</f>
        <v>97.021276595744681</v>
      </c>
      <c r="O263" s="163">
        <f>Capacity!$AA$36</f>
        <v>25.531914893617028</v>
      </c>
    </row>
    <row r="264" spans="1:15" x14ac:dyDescent="0.35">
      <c r="A264" s="160" t="s">
        <v>33</v>
      </c>
      <c r="B264" s="160">
        <v>4</v>
      </c>
      <c r="C264" s="160" t="s">
        <v>40</v>
      </c>
      <c r="D264" s="160" t="s">
        <v>10</v>
      </c>
      <c r="E264" s="160">
        <f>Capacity!$G$36</f>
        <v>3</v>
      </c>
      <c r="F264" s="160">
        <f>Capacity!$J$36</f>
        <v>3</v>
      </c>
      <c r="G264" s="160">
        <f>Capacity!$K$36</f>
        <v>2</v>
      </c>
      <c r="H264" s="160" t="str">
        <f>Capacity!$L$36</f>
        <v/>
      </c>
      <c r="I264" s="160">
        <f>Capacity!$M$36</f>
        <v>1140</v>
      </c>
      <c r="J264" s="160" t="str">
        <f>Capacity!$N$36</f>
        <v/>
      </c>
      <c r="K264" s="161" t="str">
        <f>Capacity!$O$36</f>
        <v/>
      </c>
      <c r="L264" s="160" t="s">
        <v>56</v>
      </c>
      <c r="M264" s="163">
        <f>Capacity!$Y$36</f>
        <v>71.489361702127653</v>
      </c>
      <c r="N264" s="163">
        <f>Capacity!$Z$36</f>
        <v>97.021276595744681</v>
      </c>
      <c r="O264" s="163">
        <f>Capacity!$AA$36</f>
        <v>25.531914893617028</v>
      </c>
    </row>
    <row r="265" spans="1:15" x14ac:dyDescent="0.35">
      <c r="A265" s="160" t="s">
        <v>33</v>
      </c>
      <c r="B265" s="160">
        <v>4</v>
      </c>
      <c r="C265" s="160" t="s">
        <v>40</v>
      </c>
      <c r="D265" s="160" t="s">
        <v>11</v>
      </c>
      <c r="E265" s="160">
        <f>Capacity!$H$36</f>
        <v>3</v>
      </c>
      <c r="F265" s="160">
        <f>Capacity!$J$36</f>
        <v>3</v>
      </c>
      <c r="G265" s="160">
        <f>Capacity!$K$36</f>
        <v>2</v>
      </c>
      <c r="H265" s="160" t="str">
        <f>Capacity!$L$36</f>
        <v/>
      </c>
      <c r="I265" s="160">
        <f>Capacity!$M$36</f>
        <v>1140</v>
      </c>
      <c r="J265" s="160" t="str">
        <f>Capacity!$N$36</f>
        <v/>
      </c>
      <c r="K265" s="161" t="str">
        <f>Capacity!$O$36</f>
        <v/>
      </c>
      <c r="L265" s="160" t="s">
        <v>56</v>
      </c>
      <c r="M265" s="163">
        <f>Capacity!$Y$36</f>
        <v>71.489361702127653</v>
      </c>
      <c r="N265" s="163">
        <f>Capacity!$Z$36</f>
        <v>97.021276595744681</v>
      </c>
      <c r="O265" s="163">
        <f>Capacity!$AA$36</f>
        <v>25.531914893617028</v>
      </c>
    </row>
    <row r="266" spans="1:15" x14ac:dyDescent="0.35">
      <c r="A266" s="165" t="s">
        <v>33</v>
      </c>
      <c r="B266" s="165">
        <v>4</v>
      </c>
      <c r="C266" s="165" t="s">
        <v>40</v>
      </c>
      <c r="D266" s="165" t="s">
        <v>12</v>
      </c>
      <c r="E266" s="165">
        <f>Capacity!$I$36</f>
        <v>3</v>
      </c>
      <c r="F266" s="165">
        <f>Capacity!$J$36</f>
        <v>3</v>
      </c>
      <c r="G266" s="165">
        <f>Capacity!$K$36</f>
        <v>2</v>
      </c>
      <c r="H266" s="165" t="str">
        <f>Capacity!$L$36</f>
        <v/>
      </c>
      <c r="I266" s="165">
        <f>Capacity!$M$36</f>
        <v>1140</v>
      </c>
      <c r="J266" s="165" t="str">
        <f>Capacity!$N$36</f>
        <v/>
      </c>
      <c r="K266" s="171" t="str">
        <f>Capacity!$O$36</f>
        <v/>
      </c>
      <c r="L266" s="165" t="s">
        <v>56</v>
      </c>
      <c r="M266" s="167">
        <f>Capacity!$Y$36</f>
        <v>71.489361702127653</v>
      </c>
      <c r="N266" s="167">
        <f>Capacity!$Z$36</f>
        <v>97.021276595744681</v>
      </c>
      <c r="O266" s="167">
        <f>Capacity!$AA$36</f>
        <v>25.531914893617028</v>
      </c>
    </row>
    <row r="267" spans="1:15" x14ac:dyDescent="0.35">
      <c r="A267" s="160" t="s">
        <v>29</v>
      </c>
      <c r="B267" s="160">
        <v>1</v>
      </c>
      <c r="C267" s="160" t="s">
        <v>39</v>
      </c>
      <c r="D267" s="160" t="s">
        <v>8</v>
      </c>
      <c r="E267" s="160">
        <f>Capacity!$E$29</f>
        <v>0</v>
      </c>
      <c r="F267" s="160">
        <f>Capacity!$J$29</f>
        <v>1.5</v>
      </c>
      <c r="G267" s="160">
        <f>Capacity!$K$29</f>
        <v>1</v>
      </c>
      <c r="H267" s="160">
        <f>Capacity!$L$29</f>
        <v>285</v>
      </c>
      <c r="I267" s="160" t="str">
        <f>Capacity!$M$29</f>
        <v/>
      </c>
      <c r="J267" s="160" t="str">
        <f>Capacity!$N$29</f>
        <v/>
      </c>
      <c r="K267" s="160" t="str">
        <f>Capacity!$O$29</f>
        <v/>
      </c>
      <c r="L267" s="160" t="s">
        <v>2</v>
      </c>
      <c r="M267" s="160">
        <f>Capacity!$P$29</f>
        <v>240</v>
      </c>
      <c r="N267" s="160">
        <f>Capacity!$Q$29</f>
        <v>285</v>
      </c>
      <c r="O267" s="160">
        <f>Capacity!$R$29</f>
        <v>45</v>
      </c>
    </row>
    <row r="268" spans="1:15" x14ac:dyDescent="0.35">
      <c r="A268" s="160" t="s">
        <v>29</v>
      </c>
      <c r="B268" s="160">
        <v>1</v>
      </c>
      <c r="C268" s="160" t="s">
        <v>39</v>
      </c>
      <c r="D268" s="160" t="s">
        <v>55</v>
      </c>
      <c r="E268" s="160">
        <f>Capacity!$F$29</f>
        <v>1.5</v>
      </c>
      <c r="F268" s="160">
        <f>Capacity!$J$29</f>
        <v>1.5</v>
      </c>
      <c r="G268" s="160">
        <f>Capacity!$K$29</f>
        <v>1</v>
      </c>
      <c r="H268" s="160">
        <f>Capacity!$L$29</f>
        <v>285</v>
      </c>
      <c r="I268" s="160" t="str">
        <f>Capacity!$M$29</f>
        <v/>
      </c>
      <c r="J268" s="160" t="str">
        <f>Capacity!$N$29</f>
        <v/>
      </c>
      <c r="K268" s="160" t="str">
        <f>Capacity!$O$29</f>
        <v/>
      </c>
      <c r="L268" s="160" t="s">
        <v>2</v>
      </c>
      <c r="M268" s="160">
        <f>Capacity!$P$29</f>
        <v>240</v>
      </c>
      <c r="N268" s="160">
        <f>Capacity!$Q$29</f>
        <v>285</v>
      </c>
      <c r="O268" s="160">
        <f>Capacity!$R$29</f>
        <v>45</v>
      </c>
    </row>
    <row r="269" spans="1:15" x14ac:dyDescent="0.35">
      <c r="A269" s="160" t="s">
        <v>29</v>
      </c>
      <c r="B269" s="160">
        <v>1</v>
      </c>
      <c r="C269" s="160" t="s">
        <v>39</v>
      </c>
      <c r="D269" s="160" t="s">
        <v>10</v>
      </c>
      <c r="E269" s="160">
        <f>Capacity!$G$29</f>
        <v>1.5</v>
      </c>
      <c r="F269" s="160">
        <f>Capacity!$J$29</f>
        <v>1.5</v>
      </c>
      <c r="G269" s="160">
        <f>Capacity!$K$29</f>
        <v>1</v>
      </c>
      <c r="H269" s="160">
        <f>Capacity!$L$29</f>
        <v>285</v>
      </c>
      <c r="I269" s="160" t="str">
        <f>Capacity!$M$29</f>
        <v/>
      </c>
      <c r="J269" s="160" t="str">
        <f>Capacity!$N$29</f>
        <v/>
      </c>
      <c r="K269" s="160" t="str">
        <f>Capacity!$O$29</f>
        <v/>
      </c>
      <c r="L269" s="160" t="s">
        <v>2</v>
      </c>
      <c r="M269" s="160">
        <f>Capacity!$P$29</f>
        <v>240</v>
      </c>
      <c r="N269" s="160">
        <f>Capacity!$Q$29</f>
        <v>285</v>
      </c>
      <c r="O269" s="160">
        <f>Capacity!$R$29</f>
        <v>45</v>
      </c>
    </row>
    <row r="270" spans="1:15" x14ac:dyDescent="0.35">
      <c r="A270" s="160" t="s">
        <v>29</v>
      </c>
      <c r="B270" s="160">
        <v>1</v>
      </c>
      <c r="C270" s="160" t="s">
        <v>39</v>
      </c>
      <c r="D270" s="160" t="s">
        <v>11</v>
      </c>
      <c r="E270" s="160">
        <f>Capacity!$H$29</f>
        <v>1.5</v>
      </c>
      <c r="F270" s="160">
        <f>Capacity!$J$29</f>
        <v>1.5</v>
      </c>
      <c r="G270" s="160">
        <f>Capacity!$K$29</f>
        <v>1</v>
      </c>
      <c r="H270" s="160">
        <f>Capacity!$L$29</f>
        <v>285</v>
      </c>
      <c r="I270" s="160" t="str">
        <f>Capacity!$M$29</f>
        <v/>
      </c>
      <c r="J270" s="160" t="str">
        <f>Capacity!$N$29</f>
        <v/>
      </c>
      <c r="K270" s="160" t="str">
        <f>Capacity!$O$29</f>
        <v/>
      </c>
      <c r="L270" s="160" t="s">
        <v>2</v>
      </c>
      <c r="M270" s="160">
        <f>Capacity!$P$29</f>
        <v>240</v>
      </c>
      <c r="N270" s="160">
        <f>Capacity!$Q$29</f>
        <v>285</v>
      </c>
      <c r="O270" s="160">
        <f>Capacity!$R$29</f>
        <v>45</v>
      </c>
    </row>
    <row r="271" spans="1:15" x14ac:dyDescent="0.35">
      <c r="A271" s="160" t="s">
        <v>29</v>
      </c>
      <c r="B271" s="160">
        <v>1</v>
      </c>
      <c r="C271" s="160" t="s">
        <v>39</v>
      </c>
      <c r="D271" s="160" t="s">
        <v>12</v>
      </c>
      <c r="E271" s="160">
        <f>Capacity!$I$29</f>
        <v>1.5</v>
      </c>
      <c r="F271" s="160">
        <f>Capacity!$J$29</f>
        <v>1.5</v>
      </c>
      <c r="G271" s="160">
        <f>Capacity!$K$29</f>
        <v>1</v>
      </c>
      <c r="H271" s="160">
        <f>Capacity!$L$29</f>
        <v>285</v>
      </c>
      <c r="I271" s="160" t="str">
        <f>Capacity!$M$29</f>
        <v/>
      </c>
      <c r="J271" s="160" t="str">
        <f>Capacity!$N$29</f>
        <v/>
      </c>
      <c r="K271" s="160" t="str">
        <f>Capacity!$O$29</f>
        <v/>
      </c>
      <c r="L271" s="160" t="s">
        <v>2</v>
      </c>
      <c r="M271" s="165">
        <f>Capacity!$P$29</f>
        <v>240</v>
      </c>
      <c r="N271" s="165">
        <f>Capacity!$Q$29</f>
        <v>285</v>
      </c>
      <c r="O271" s="165">
        <f>Capacity!$R$29</f>
        <v>45</v>
      </c>
    </row>
    <row r="272" spans="1:15" x14ac:dyDescent="0.35">
      <c r="A272" s="160" t="s">
        <v>29</v>
      </c>
      <c r="B272" s="160">
        <v>1</v>
      </c>
      <c r="C272" s="160" t="s">
        <v>39</v>
      </c>
      <c r="D272" s="160" t="s">
        <v>8</v>
      </c>
      <c r="E272" s="160">
        <f>Capacity!$E$29</f>
        <v>0</v>
      </c>
      <c r="F272" s="160">
        <f>Capacity!$J$29</f>
        <v>1.5</v>
      </c>
      <c r="G272" s="160">
        <f>Capacity!$K$29</f>
        <v>1</v>
      </c>
      <c r="H272" s="160">
        <f>Capacity!$L$29</f>
        <v>285</v>
      </c>
      <c r="I272" s="160" t="str">
        <f>Capacity!$M$29</f>
        <v/>
      </c>
      <c r="J272" s="160" t="str">
        <f>Capacity!$N$29</f>
        <v/>
      </c>
      <c r="K272" s="160" t="str">
        <f>Capacity!$O$29</f>
        <v/>
      </c>
      <c r="L272" s="161" t="s">
        <v>3</v>
      </c>
      <c r="M272" s="163">
        <f>Capacity!$S$29</f>
        <v>1.263157894736842</v>
      </c>
      <c r="N272" s="163">
        <f>Capacity!$T$29</f>
        <v>3</v>
      </c>
      <c r="O272" s="163">
        <f>Capacity!$U$29</f>
        <v>1.736842105263158</v>
      </c>
    </row>
    <row r="273" spans="1:15" x14ac:dyDescent="0.35">
      <c r="A273" s="160" t="s">
        <v>29</v>
      </c>
      <c r="B273" s="160">
        <v>1</v>
      </c>
      <c r="C273" s="160" t="s">
        <v>39</v>
      </c>
      <c r="D273" s="160" t="s">
        <v>55</v>
      </c>
      <c r="E273" s="160">
        <f>Capacity!$F$29</f>
        <v>1.5</v>
      </c>
      <c r="F273" s="160">
        <f>Capacity!$J$29</f>
        <v>1.5</v>
      </c>
      <c r="G273" s="160">
        <f>Capacity!$K$29</f>
        <v>1</v>
      </c>
      <c r="H273" s="160">
        <f>Capacity!$L$29</f>
        <v>285</v>
      </c>
      <c r="I273" s="160" t="str">
        <f>Capacity!$M$29</f>
        <v/>
      </c>
      <c r="J273" s="160" t="str">
        <f>Capacity!$N$29</f>
        <v/>
      </c>
      <c r="K273" s="160" t="str">
        <f>Capacity!$O$29</f>
        <v/>
      </c>
      <c r="L273" s="161" t="s">
        <v>3</v>
      </c>
      <c r="M273" s="163">
        <f>Capacity!$S$29</f>
        <v>1.263157894736842</v>
      </c>
      <c r="N273" s="163">
        <f>Capacity!$T$29</f>
        <v>3</v>
      </c>
      <c r="O273" s="163">
        <f>Capacity!$U$29</f>
        <v>1.736842105263158</v>
      </c>
    </row>
    <row r="274" spans="1:15" x14ac:dyDescent="0.35">
      <c r="A274" s="160" t="s">
        <v>29</v>
      </c>
      <c r="B274" s="160">
        <v>1</v>
      </c>
      <c r="C274" s="160" t="s">
        <v>39</v>
      </c>
      <c r="D274" s="160" t="s">
        <v>10</v>
      </c>
      <c r="E274" s="160">
        <f>Capacity!$G$29</f>
        <v>1.5</v>
      </c>
      <c r="F274" s="160">
        <f>Capacity!$J$29</f>
        <v>1.5</v>
      </c>
      <c r="G274" s="160">
        <f>Capacity!$K$29</f>
        <v>1</v>
      </c>
      <c r="H274" s="160">
        <f>Capacity!$L$29</f>
        <v>285</v>
      </c>
      <c r="I274" s="160" t="str">
        <f>Capacity!$M$29</f>
        <v/>
      </c>
      <c r="J274" s="160" t="str">
        <f>Capacity!$N$29</f>
        <v/>
      </c>
      <c r="K274" s="160" t="str">
        <f>Capacity!$O$29</f>
        <v/>
      </c>
      <c r="L274" s="161" t="s">
        <v>3</v>
      </c>
      <c r="M274" s="163">
        <f>Capacity!$S$29</f>
        <v>1.263157894736842</v>
      </c>
      <c r="N274" s="163">
        <f>Capacity!$T$29</f>
        <v>3</v>
      </c>
      <c r="O274" s="163">
        <f>Capacity!$U$29</f>
        <v>1.736842105263158</v>
      </c>
    </row>
    <row r="275" spans="1:15" x14ac:dyDescent="0.35">
      <c r="A275" s="160" t="s">
        <v>29</v>
      </c>
      <c r="B275" s="160">
        <v>1</v>
      </c>
      <c r="C275" s="160" t="s">
        <v>39</v>
      </c>
      <c r="D275" s="160" t="s">
        <v>11</v>
      </c>
      <c r="E275" s="160">
        <f>Capacity!$H$29</f>
        <v>1.5</v>
      </c>
      <c r="F275" s="160">
        <f>Capacity!$J$29</f>
        <v>1.5</v>
      </c>
      <c r="G275" s="160">
        <f>Capacity!$K$29</f>
        <v>1</v>
      </c>
      <c r="H275" s="160">
        <f>Capacity!$L$29</f>
        <v>285</v>
      </c>
      <c r="I275" s="160" t="str">
        <f>Capacity!$M$29</f>
        <v/>
      </c>
      <c r="J275" s="160" t="str">
        <f>Capacity!$N$29</f>
        <v/>
      </c>
      <c r="K275" s="160" t="str">
        <f>Capacity!$O$29</f>
        <v/>
      </c>
      <c r="L275" s="161" t="s">
        <v>3</v>
      </c>
      <c r="M275" s="163">
        <f>Capacity!$S$29</f>
        <v>1.263157894736842</v>
      </c>
      <c r="N275" s="163">
        <f>Capacity!$T$29</f>
        <v>3</v>
      </c>
      <c r="O275" s="163">
        <f>Capacity!$U$29</f>
        <v>1.736842105263158</v>
      </c>
    </row>
    <row r="276" spans="1:15" x14ac:dyDescent="0.35">
      <c r="A276" s="160" t="s">
        <v>29</v>
      </c>
      <c r="B276" s="160">
        <v>1</v>
      </c>
      <c r="C276" s="160" t="s">
        <v>39</v>
      </c>
      <c r="D276" s="160" t="s">
        <v>12</v>
      </c>
      <c r="E276" s="160">
        <f>Capacity!$I$29</f>
        <v>1.5</v>
      </c>
      <c r="F276" s="160">
        <f>Capacity!$J$29</f>
        <v>1.5</v>
      </c>
      <c r="G276" s="160">
        <f>Capacity!$K$29</f>
        <v>1</v>
      </c>
      <c r="H276" s="160">
        <f>Capacity!$L$29</f>
        <v>285</v>
      </c>
      <c r="I276" s="160" t="str">
        <f>Capacity!$M$29</f>
        <v/>
      </c>
      <c r="J276" s="160" t="str">
        <f>Capacity!$N$29</f>
        <v/>
      </c>
      <c r="K276" s="160" t="str">
        <f>Capacity!$O$29</f>
        <v/>
      </c>
      <c r="L276" s="171" t="s">
        <v>3</v>
      </c>
      <c r="M276" s="167">
        <f>Capacity!$S$29</f>
        <v>1.263157894736842</v>
      </c>
      <c r="N276" s="167">
        <f>Capacity!$T$29</f>
        <v>3</v>
      </c>
      <c r="O276" s="167">
        <f>Capacity!$U$29</f>
        <v>1.736842105263158</v>
      </c>
    </row>
    <row r="277" spans="1:15" x14ac:dyDescent="0.35">
      <c r="A277" s="160" t="s">
        <v>29</v>
      </c>
      <c r="B277" s="160">
        <v>1</v>
      </c>
      <c r="C277" s="160" t="s">
        <v>39</v>
      </c>
      <c r="D277" s="160" t="s">
        <v>8</v>
      </c>
      <c r="E277" s="160">
        <f>Capacity!$E$29</f>
        <v>0</v>
      </c>
      <c r="F277" s="160">
        <f>Capacity!$J$29</f>
        <v>1.5</v>
      </c>
      <c r="G277" s="160">
        <f>Capacity!$K$29</f>
        <v>1</v>
      </c>
      <c r="H277" s="160">
        <f>Capacity!$L$29</f>
        <v>285</v>
      </c>
      <c r="I277" s="160" t="str">
        <f>Capacity!$M$29</f>
        <v/>
      </c>
      <c r="J277" s="160" t="str">
        <f>Capacity!$N$29</f>
        <v/>
      </c>
      <c r="K277" s="161" t="str">
        <f>Capacity!$O$29</f>
        <v/>
      </c>
      <c r="L277" s="160" t="s">
        <v>4</v>
      </c>
      <c r="M277" s="166">
        <f>Capacity!$V$29</f>
        <v>1.263157894736842</v>
      </c>
      <c r="N277" s="166">
        <f>Capacity!$W$29</f>
        <v>1.5</v>
      </c>
      <c r="O277" s="166">
        <f>Capacity!$X$29</f>
        <v>0.23684210526315796</v>
      </c>
    </row>
    <row r="278" spans="1:15" x14ac:dyDescent="0.35">
      <c r="A278" s="160" t="s">
        <v>29</v>
      </c>
      <c r="B278" s="160">
        <v>1</v>
      </c>
      <c r="C278" s="160" t="s">
        <v>39</v>
      </c>
      <c r="D278" s="160" t="s">
        <v>55</v>
      </c>
      <c r="E278" s="160">
        <f>Capacity!$F$29</f>
        <v>1.5</v>
      </c>
      <c r="F278" s="160">
        <f>Capacity!$J$29</f>
        <v>1.5</v>
      </c>
      <c r="G278" s="160">
        <f>Capacity!$K$29</f>
        <v>1</v>
      </c>
      <c r="H278" s="160">
        <f>Capacity!$L$29</f>
        <v>285</v>
      </c>
      <c r="I278" s="160" t="str">
        <f>Capacity!$M$29</f>
        <v/>
      </c>
      <c r="J278" s="160" t="str">
        <f>Capacity!$N$29</f>
        <v/>
      </c>
      <c r="K278" s="161" t="str">
        <f>Capacity!$O$29</f>
        <v/>
      </c>
      <c r="L278" s="160" t="s">
        <v>4</v>
      </c>
      <c r="M278" s="166">
        <f>Capacity!$V$29</f>
        <v>1.263157894736842</v>
      </c>
      <c r="N278" s="166">
        <f>Capacity!$W$29</f>
        <v>1.5</v>
      </c>
      <c r="O278" s="166">
        <f>Capacity!$X$29</f>
        <v>0.23684210526315796</v>
      </c>
    </row>
    <row r="279" spans="1:15" x14ac:dyDescent="0.35">
      <c r="A279" s="160" t="s">
        <v>29</v>
      </c>
      <c r="B279" s="160">
        <v>1</v>
      </c>
      <c r="C279" s="160" t="s">
        <v>39</v>
      </c>
      <c r="D279" s="160" t="s">
        <v>10</v>
      </c>
      <c r="E279" s="160">
        <f>Capacity!$G$29</f>
        <v>1.5</v>
      </c>
      <c r="F279" s="160">
        <f>Capacity!$J$29</f>
        <v>1.5</v>
      </c>
      <c r="G279" s="160">
        <f>Capacity!$K$29</f>
        <v>1</v>
      </c>
      <c r="H279" s="160">
        <f>Capacity!$L$29</f>
        <v>285</v>
      </c>
      <c r="I279" s="160" t="str">
        <f>Capacity!$M$29</f>
        <v/>
      </c>
      <c r="J279" s="160" t="str">
        <f>Capacity!$N$29</f>
        <v/>
      </c>
      <c r="K279" s="161" t="str">
        <f>Capacity!$O$29</f>
        <v/>
      </c>
      <c r="L279" s="160" t="s">
        <v>4</v>
      </c>
      <c r="M279" s="166">
        <f>Capacity!$V$29</f>
        <v>1.263157894736842</v>
      </c>
      <c r="N279" s="166">
        <f>Capacity!$W$29</f>
        <v>1.5</v>
      </c>
      <c r="O279" s="166">
        <f>Capacity!$X$29</f>
        <v>0.23684210526315796</v>
      </c>
    </row>
    <row r="280" spans="1:15" x14ac:dyDescent="0.35">
      <c r="A280" s="160" t="s">
        <v>29</v>
      </c>
      <c r="B280" s="160">
        <v>1</v>
      </c>
      <c r="C280" s="160" t="s">
        <v>39</v>
      </c>
      <c r="D280" s="160" t="s">
        <v>11</v>
      </c>
      <c r="E280" s="160">
        <f>Capacity!$H$29</f>
        <v>1.5</v>
      </c>
      <c r="F280" s="160">
        <f>Capacity!$J$29</f>
        <v>1.5</v>
      </c>
      <c r="G280" s="160">
        <f>Capacity!$K$29</f>
        <v>1</v>
      </c>
      <c r="H280" s="160">
        <f>Capacity!$L$29</f>
        <v>285</v>
      </c>
      <c r="I280" s="160" t="str">
        <f>Capacity!$M$29</f>
        <v/>
      </c>
      <c r="J280" s="160" t="str">
        <f>Capacity!$N$29</f>
        <v/>
      </c>
      <c r="K280" s="161" t="str">
        <f>Capacity!$O$29</f>
        <v/>
      </c>
      <c r="L280" s="160" t="s">
        <v>4</v>
      </c>
      <c r="M280" s="166">
        <f>Capacity!$V$29</f>
        <v>1.263157894736842</v>
      </c>
      <c r="N280" s="166">
        <f>Capacity!$W$29</f>
        <v>1.5</v>
      </c>
      <c r="O280" s="166">
        <f>Capacity!$X$29</f>
        <v>0.23684210526315796</v>
      </c>
    </row>
    <row r="281" spans="1:15" x14ac:dyDescent="0.35">
      <c r="A281" s="160" t="s">
        <v>29</v>
      </c>
      <c r="B281" s="160">
        <v>1</v>
      </c>
      <c r="C281" s="160" t="s">
        <v>39</v>
      </c>
      <c r="D281" s="160" t="s">
        <v>12</v>
      </c>
      <c r="E281" s="160">
        <f>Capacity!$I$29</f>
        <v>1.5</v>
      </c>
      <c r="F281" s="160">
        <f>Capacity!$J$29</f>
        <v>1.5</v>
      </c>
      <c r="G281" s="160">
        <f>Capacity!$K$29</f>
        <v>1</v>
      </c>
      <c r="H281" s="160">
        <f>Capacity!$L$29</f>
        <v>285</v>
      </c>
      <c r="I281" s="160" t="str">
        <f>Capacity!$M$29</f>
        <v/>
      </c>
      <c r="J281" s="160" t="str">
        <f>Capacity!$N$29</f>
        <v/>
      </c>
      <c r="K281" s="161" t="str">
        <f>Capacity!$O$29</f>
        <v/>
      </c>
      <c r="L281" s="160" t="s">
        <v>4</v>
      </c>
      <c r="M281" s="169">
        <f>Capacity!$V$29</f>
        <v>1.263157894736842</v>
      </c>
      <c r="N281" s="169">
        <f>Capacity!$W$29</f>
        <v>1.5</v>
      </c>
      <c r="O281" s="169">
        <f>Capacity!$X$29</f>
        <v>0.23684210526315796</v>
      </c>
    </row>
    <row r="282" spans="1:15" x14ac:dyDescent="0.35">
      <c r="A282" s="160" t="s">
        <v>29</v>
      </c>
      <c r="B282" s="160">
        <v>1</v>
      </c>
      <c r="C282" s="160" t="s">
        <v>39</v>
      </c>
      <c r="D282" s="160" t="s">
        <v>8</v>
      </c>
      <c r="E282" s="160">
        <f>Capacity!$E$29</f>
        <v>0</v>
      </c>
      <c r="F282" s="160">
        <f>Capacity!$J$29</f>
        <v>1.5</v>
      </c>
      <c r="G282" s="160">
        <f>Capacity!$K$29</f>
        <v>1</v>
      </c>
      <c r="H282" s="160">
        <f>Capacity!$L$29</f>
        <v>285</v>
      </c>
      <c r="I282" s="160" t="str">
        <f>Capacity!$M$29</f>
        <v/>
      </c>
      <c r="J282" s="160" t="str">
        <f>Capacity!$N$29</f>
        <v/>
      </c>
      <c r="K282" s="161" t="str">
        <f>Capacity!$O$29</f>
        <v/>
      </c>
      <c r="L282" s="161" t="s">
        <v>56</v>
      </c>
      <c r="M282" s="163">
        <f>Capacity!$Y$29</f>
        <v>20.425531914893618</v>
      </c>
      <c r="N282" s="163">
        <f>Capacity!$Z$29</f>
        <v>24.25531914893617</v>
      </c>
      <c r="O282" s="163">
        <f>Capacity!$AA$29</f>
        <v>3.8297872340425521</v>
      </c>
    </row>
    <row r="283" spans="1:15" x14ac:dyDescent="0.35">
      <c r="A283" s="160" t="s">
        <v>29</v>
      </c>
      <c r="B283" s="160">
        <v>1</v>
      </c>
      <c r="C283" s="160" t="s">
        <v>39</v>
      </c>
      <c r="D283" s="160" t="s">
        <v>55</v>
      </c>
      <c r="E283" s="160">
        <f>Capacity!$F$29</f>
        <v>1.5</v>
      </c>
      <c r="F283" s="160">
        <f>Capacity!$J$29</f>
        <v>1.5</v>
      </c>
      <c r="G283" s="160">
        <f>Capacity!$K$29</f>
        <v>1</v>
      </c>
      <c r="H283" s="160">
        <f>Capacity!$L$29</f>
        <v>285</v>
      </c>
      <c r="I283" s="160" t="str">
        <f>Capacity!$M$29</f>
        <v/>
      </c>
      <c r="J283" s="160" t="str">
        <f>Capacity!$N$29</f>
        <v/>
      </c>
      <c r="K283" s="161" t="str">
        <f>Capacity!$O$29</f>
        <v/>
      </c>
      <c r="L283" s="161" t="s">
        <v>56</v>
      </c>
      <c r="M283" s="163">
        <f>Capacity!$Y$29</f>
        <v>20.425531914893618</v>
      </c>
      <c r="N283" s="163">
        <f>Capacity!$Z$29</f>
        <v>24.25531914893617</v>
      </c>
      <c r="O283" s="163">
        <f>Capacity!$AA$29</f>
        <v>3.8297872340425521</v>
      </c>
    </row>
    <row r="284" spans="1:15" x14ac:dyDescent="0.35">
      <c r="A284" s="160" t="s">
        <v>29</v>
      </c>
      <c r="B284" s="160">
        <v>1</v>
      </c>
      <c r="C284" s="160" t="s">
        <v>39</v>
      </c>
      <c r="D284" s="160" t="s">
        <v>10</v>
      </c>
      <c r="E284" s="160">
        <f>Capacity!$G$29</f>
        <v>1.5</v>
      </c>
      <c r="F284" s="160">
        <f>Capacity!$J$29</f>
        <v>1.5</v>
      </c>
      <c r="G284" s="160">
        <f>Capacity!$K$29</f>
        <v>1</v>
      </c>
      <c r="H284" s="160">
        <f>Capacity!$L$29</f>
        <v>285</v>
      </c>
      <c r="I284" s="160" t="str">
        <f>Capacity!$M$29</f>
        <v/>
      </c>
      <c r="J284" s="160" t="str">
        <f>Capacity!$N$29</f>
        <v/>
      </c>
      <c r="K284" s="161" t="str">
        <f>Capacity!$O$29</f>
        <v/>
      </c>
      <c r="L284" s="161" t="s">
        <v>56</v>
      </c>
      <c r="M284" s="163">
        <f>Capacity!$Y$29</f>
        <v>20.425531914893618</v>
      </c>
      <c r="N284" s="163">
        <f>Capacity!$Z$29</f>
        <v>24.25531914893617</v>
      </c>
      <c r="O284" s="163">
        <f>Capacity!$AA$29</f>
        <v>3.8297872340425521</v>
      </c>
    </row>
    <row r="285" spans="1:15" x14ac:dyDescent="0.35">
      <c r="A285" s="160" t="s">
        <v>29</v>
      </c>
      <c r="B285" s="160">
        <v>1</v>
      </c>
      <c r="C285" s="160" t="s">
        <v>39</v>
      </c>
      <c r="D285" s="160" t="s">
        <v>11</v>
      </c>
      <c r="E285" s="160">
        <f>Capacity!$H$29</f>
        <v>1.5</v>
      </c>
      <c r="F285" s="160">
        <f>Capacity!$J$29</f>
        <v>1.5</v>
      </c>
      <c r="G285" s="160">
        <f>Capacity!$K$29</f>
        <v>1</v>
      </c>
      <c r="H285" s="160">
        <f>Capacity!$L$29</f>
        <v>285</v>
      </c>
      <c r="I285" s="160" t="str">
        <f>Capacity!$M$29</f>
        <v/>
      </c>
      <c r="J285" s="160" t="str">
        <f>Capacity!$N$29</f>
        <v/>
      </c>
      <c r="K285" s="161" t="str">
        <f>Capacity!$O$29</f>
        <v/>
      </c>
      <c r="L285" s="161" t="s">
        <v>56</v>
      </c>
      <c r="M285" s="163">
        <f>Capacity!$Y$29</f>
        <v>20.425531914893618</v>
      </c>
      <c r="N285" s="163">
        <f>Capacity!$Z$29</f>
        <v>24.25531914893617</v>
      </c>
      <c r="O285" s="163">
        <f>Capacity!$AA$29</f>
        <v>3.8297872340425521</v>
      </c>
    </row>
    <row r="286" spans="1:15" x14ac:dyDescent="0.35">
      <c r="A286" s="165" t="s">
        <v>29</v>
      </c>
      <c r="B286" s="165">
        <v>1</v>
      </c>
      <c r="C286" s="165" t="s">
        <v>39</v>
      </c>
      <c r="D286" s="165" t="s">
        <v>12</v>
      </c>
      <c r="E286" s="165">
        <f>Capacity!$I$29</f>
        <v>1.5</v>
      </c>
      <c r="F286" s="165">
        <f>Capacity!$J$29</f>
        <v>1.5</v>
      </c>
      <c r="G286" s="165">
        <f>Capacity!$K$29</f>
        <v>1</v>
      </c>
      <c r="H286" s="165">
        <f>Capacity!$L$29</f>
        <v>285</v>
      </c>
      <c r="I286" s="165" t="str">
        <f>Capacity!$M$29</f>
        <v/>
      </c>
      <c r="J286" s="165" t="str">
        <f>Capacity!$N$29</f>
        <v/>
      </c>
      <c r="K286" s="171" t="str">
        <f>Capacity!$O$29</f>
        <v/>
      </c>
      <c r="L286" s="171" t="s">
        <v>56</v>
      </c>
      <c r="M286" s="167">
        <f>Capacity!$Y$29</f>
        <v>20.425531914893618</v>
      </c>
      <c r="N286" s="167">
        <f>Capacity!$Z$29</f>
        <v>24.25531914893617</v>
      </c>
      <c r="O286" s="167">
        <f>Capacity!$AA$29</f>
        <v>3.8297872340425521</v>
      </c>
    </row>
    <row r="287" spans="1:15" x14ac:dyDescent="0.35">
      <c r="A287" s="160" t="s">
        <v>31</v>
      </c>
      <c r="B287" s="160">
        <v>2</v>
      </c>
      <c r="C287" s="160" t="s">
        <v>39</v>
      </c>
      <c r="D287" s="160" t="s">
        <v>8</v>
      </c>
      <c r="E287" s="160">
        <f>Capacity!$E$30</f>
        <v>0</v>
      </c>
      <c r="F287" s="160">
        <f>Capacity!$J$30</f>
        <v>1.5</v>
      </c>
      <c r="G287" s="160">
        <f>Capacity!$K$30</f>
        <v>1</v>
      </c>
      <c r="H287" s="160">
        <f>Capacity!$L$30</f>
        <v>285</v>
      </c>
      <c r="I287" s="160" t="str">
        <f>Capacity!$M$30</f>
        <v/>
      </c>
      <c r="J287" s="160" t="str">
        <f>Capacity!$N$30</f>
        <v/>
      </c>
      <c r="K287" s="160" t="str">
        <f>Capacity!$O$30</f>
        <v/>
      </c>
      <c r="L287" s="160" t="s">
        <v>2</v>
      </c>
      <c r="M287" s="160">
        <f>Capacity!$P$30</f>
        <v>240</v>
      </c>
      <c r="N287" s="160">
        <f>Capacity!$Q$30</f>
        <v>285</v>
      </c>
      <c r="O287" s="160">
        <f>Capacity!$R$30</f>
        <v>45</v>
      </c>
    </row>
    <row r="288" spans="1:15" x14ac:dyDescent="0.35">
      <c r="A288" s="160" t="s">
        <v>31</v>
      </c>
      <c r="B288" s="160">
        <v>2</v>
      </c>
      <c r="C288" s="160" t="s">
        <v>39</v>
      </c>
      <c r="D288" s="160" t="s">
        <v>55</v>
      </c>
      <c r="E288" s="160">
        <f>Capacity!$F$30</f>
        <v>1.5</v>
      </c>
      <c r="F288" s="160">
        <f>Capacity!$J$30</f>
        <v>1.5</v>
      </c>
      <c r="G288" s="160">
        <f>Capacity!$K$30</f>
        <v>1</v>
      </c>
      <c r="H288" s="160">
        <f>Capacity!$L$30</f>
        <v>285</v>
      </c>
      <c r="I288" s="160" t="str">
        <f>Capacity!$M$30</f>
        <v/>
      </c>
      <c r="J288" s="160" t="str">
        <f>Capacity!$N$30</f>
        <v/>
      </c>
      <c r="K288" s="160" t="str">
        <f>Capacity!$O$30</f>
        <v/>
      </c>
      <c r="L288" s="160" t="s">
        <v>2</v>
      </c>
      <c r="M288" s="160">
        <f>Capacity!$P$30</f>
        <v>240</v>
      </c>
      <c r="N288" s="160">
        <f>Capacity!$Q$30</f>
        <v>285</v>
      </c>
      <c r="O288" s="160">
        <f>Capacity!$R$30</f>
        <v>45</v>
      </c>
    </row>
    <row r="289" spans="1:15" x14ac:dyDescent="0.35">
      <c r="A289" s="160" t="s">
        <v>31</v>
      </c>
      <c r="B289" s="160">
        <v>2</v>
      </c>
      <c r="C289" s="160" t="s">
        <v>39</v>
      </c>
      <c r="D289" s="160" t="s">
        <v>10</v>
      </c>
      <c r="E289" s="160">
        <f>Capacity!$G$30</f>
        <v>1.5</v>
      </c>
      <c r="F289" s="160">
        <f>Capacity!$J$30</f>
        <v>1.5</v>
      </c>
      <c r="G289" s="160">
        <f>Capacity!$K$30</f>
        <v>1</v>
      </c>
      <c r="H289" s="160">
        <f>Capacity!$L$30</f>
        <v>285</v>
      </c>
      <c r="I289" s="160" t="str">
        <f>Capacity!$M$30</f>
        <v/>
      </c>
      <c r="J289" s="160" t="str">
        <f>Capacity!$N$30</f>
        <v/>
      </c>
      <c r="K289" s="160" t="str">
        <f>Capacity!$O$30</f>
        <v/>
      </c>
      <c r="L289" s="160" t="s">
        <v>2</v>
      </c>
      <c r="M289" s="160">
        <f>Capacity!$P$30</f>
        <v>240</v>
      </c>
      <c r="N289" s="160">
        <f>Capacity!$Q$30</f>
        <v>285</v>
      </c>
      <c r="O289" s="160">
        <f>Capacity!$R$30</f>
        <v>45</v>
      </c>
    </row>
    <row r="290" spans="1:15" x14ac:dyDescent="0.35">
      <c r="A290" s="160" t="s">
        <v>31</v>
      </c>
      <c r="B290" s="160">
        <v>2</v>
      </c>
      <c r="C290" s="160" t="s">
        <v>39</v>
      </c>
      <c r="D290" s="160" t="s">
        <v>11</v>
      </c>
      <c r="E290" s="160">
        <f>Capacity!$H$30</f>
        <v>1.5</v>
      </c>
      <c r="F290" s="160">
        <f>Capacity!$J$30</f>
        <v>1.5</v>
      </c>
      <c r="G290" s="160">
        <f>Capacity!$K$30</f>
        <v>1</v>
      </c>
      <c r="H290" s="160">
        <f>Capacity!$L$30</f>
        <v>285</v>
      </c>
      <c r="I290" s="160" t="str">
        <f>Capacity!$M$30</f>
        <v/>
      </c>
      <c r="J290" s="160" t="str">
        <f>Capacity!$N$30</f>
        <v/>
      </c>
      <c r="K290" s="160" t="str">
        <f>Capacity!$O$30</f>
        <v/>
      </c>
      <c r="L290" s="160" t="s">
        <v>2</v>
      </c>
      <c r="M290" s="160">
        <f>Capacity!$P$30</f>
        <v>240</v>
      </c>
      <c r="N290" s="160">
        <f>Capacity!$Q$30</f>
        <v>285</v>
      </c>
      <c r="O290" s="160">
        <f>Capacity!$R$30</f>
        <v>45</v>
      </c>
    </row>
    <row r="291" spans="1:15" x14ac:dyDescent="0.35">
      <c r="A291" s="160" t="s">
        <v>31</v>
      </c>
      <c r="B291" s="160">
        <v>2</v>
      </c>
      <c r="C291" s="160" t="s">
        <v>39</v>
      </c>
      <c r="D291" s="160" t="s">
        <v>12</v>
      </c>
      <c r="E291" s="160">
        <f>Capacity!$I$30</f>
        <v>1.5</v>
      </c>
      <c r="F291" s="160">
        <f>Capacity!$J$30</f>
        <v>1.5</v>
      </c>
      <c r="G291" s="160">
        <f>Capacity!$K$30</f>
        <v>1</v>
      </c>
      <c r="H291" s="160">
        <f>Capacity!$L$30</f>
        <v>285</v>
      </c>
      <c r="I291" s="160" t="str">
        <f>Capacity!$M$30</f>
        <v/>
      </c>
      <c r="J291" s="160" t="str">
        <f>Capacity!$N$30</f>
        <v/>
      </c>
      <c r="K291" s="160" t="str">
        <f>Capacity!$O$30</f>
        <v/>
      </c>
      <c r="L291" s="160" t="s">
        <v>2</v>
      </c>
      <c r="M291" s="165">
        <f>Capacity!$P$30</f>
        <v>240</v>
      </c>
      <c r="N291" s="165">
        <f>Capacity!$Q$30</f>
        <v>285</v>
      </c>
      <c r="O291" s="165">
        <f>Capacity!$R$30</f>
        <v>45</v>
      </c>
    </row>
    <row r="292" spans="1:15" x14ac:dyDescent="0.35">
      <c r="A292" s="160" t="s">
        <v>31</v>
      </c>
      <c r="B292" s="160">
        <v>2</v>
      </c>
      <c r="C292" s="160" t="s">
        <v>39</v>
      </c>
      <c r="D292" s="160" t="s">
        <v>8</v>
      </c>
      <c r="E292" s="160">
        <f>Capacity!$E$30</f>
        <v>0</v>
      </c>
      <c r="F292" s="160">
        <f>Capacity!$J$30</f>
        <v>1.5</v>
      </c>
      <c r="G292" s="160">
        <f>Capacity!$K$30</f>
        <v>1</v>
      </c>
      <c r="H292" s="160">
        <f>Capacity!$L$30</f>
        <v>285</v>
      </c>
      <c r="I292" s="160" t="str">
        <f>Capacity!$M$30</f>
        <v/>
      </c>
      <c r="J292" s="160" t="str">
        <f>Capacity!$N$30</f>
        <v/>
      </c>
      <c r="K292" s="160" t="str">
        <f>Capacity!$O$30</f>
        <v/>
      </c>
      <c r="L292" s="161" t="s">
        <v>3</v>
      </c>
      <c r="M292" s="163">
        <f>Capacity!$S$30</f>
        <v>1.263157894736842</v>
      </c>
      <c r="N292" s="163">
        <f>Capacity!$T$30</f>
        <v>3</v>
      </c>
      <c r="O292" s="163">
        <f>Capacity!$U$30</f>
        <v>1.736842105263158</v>
      </c>
    </row>
    <row r="293" spans="1:15" x14ac:dyDescent="0.35">
      <c r="A293" s="160" t="s">
        <v>31</v>
      </c>
      <c r="B293" s="160">
        <v>2</v>
      </c>
      <c r="C293" s="160" t="s">
        <v>39</v>
      </c>
      <c r="D293" s="160" t="s">
        <v>55</v>
      </c>
      <c r="E293" s="160">
        <f>Capacity!$F$30</f>
        <v>1.5</v>
      </c>
      <c r="F293" s="160">
        <f>Capacity!$J$30</f>
        <v>1.5</v>
      </c>
      <c r="G293" s="160">
        <f>Capacity!$K$30</f>
        <v>1</v>
      </c>
      <c r="H293" s="160">
        <f>Capacity!$L$30</f>
        <v>285</v>
      </c>
      <c r="I293" s="160" t="str">
        <f>Capacity!$M$30</f>
        <v/>
      </c>
      <c r="J293" s="160" t="str">
        <f>Capacity!$N$30</f>
        <v/>
      </c>
      <c r="K293" s="160" t="str">
        <f>Capacity!$O$30</f>
        <v/>
      </c>
      <c r="L293" s="161" t="s">
        <v>3</v>
      </c>
      <c r="M293" s="163">
        <f>Capacity!$S$30</f>
        <v>1.263157894736842</v>
      </c>
      <c r="N293" s="163">
        <f>Capacity!$T$30</f>
        <v>3</v>
      </c>
      <c r="O293" s="163">
        <f>Capacity!$U$30</f>
        <v>1.736842105263158</v>
      </c>
    </row>
    <row r="294" spans="1:15" x14ac:dyDescent="0.35">
      <c r="A294" s="160" t="s">
        <v>31</v>
      </c>
      <c r="B294" s="160">
        <v>2</v>
      </c>
      <c r="C294" s="160" t="s">
        <v>39</v>
      </c>
      <c r="D294" s="160" t="s">
        <v>10</v>
      </c>
      <c r="E294" s="160">
        <f>Capacity!$G$30</f>
        <v>1.5</v>
      </c>
      <c r="F294" s="160">
        <f>Capacity!$J$30</f>
        <v>1.5</v>
      </c>
      <c r="G294" s="160">
        <f>Capacity!$K$30</f>
        <v>1</v>
      </c>
      <c r="H294" s="160">
        <f>Capacity!$L$30</f>
        <v>285</v>
      </c>
      <c r="I294" s="160" t="str">
        <f>Capacity!$M$30</f>
        <v/>
      </c>
      <c r="J294" s="160" t="str">
        <f>Capacity!$N$30</f>
        <v/>
      </c>
      <c r="K294" s="160" t="str">
        <f>Capacity!$O$30</f>
        <v/>
      </c>
      <c r="L294" s="161" t="s">
        <v>3</v>
      </c>
      <c r="M294" s="163">
        <f>Capacity!$S$30</f>
        <v>1.263157894736842</v>
      </c>
      <c r="N294" s="163">
        <f>Capacity!$T$30</f>
        <v>3</v>
      </c>
      <c r="O294" s="163">
        <f>Capacity!$U$30</f>
        <v>1.736842105263158</v>
      </c>
    </row>
    <row r="295" spans="1:15" x14ac:dyDescent="0.35">
      <c r="A295" s="160" t="s">
        <v>31</v>
      </c>
      <c r="B295" s="160">
        <v>2</v>
      </c>
      <c r="C295" s="160" t="s">
        <v>39</v>
      </c>
      <c r="D295" s="160" t="s">
        <v>11</v>
      </c>
      <c r="E295" s="160">
        <f>Capacity!$H$30</f>
        <v>1.5</v>
      </c>
      <c r="F295" s="160">
        <f>Capacity!$J$30</f>
        <v>1.5</v>
      </c>
      <c r="G295" s="160">
        <f>Capacity!$K$30</f>
        <v>1</v>
      </c>
      <c r="H295" s="160">
        <f>Capacity!$L$30</f>
        <v>285</v>
      </c>
      <c r="I295" s="160" t="str">
        <f>Capacity!$M$30</f>
        <v/>
      </c>
      <c r="J295" s="160" t="str">
        <f>Capacity!$N$30</f>
        <v/>
      </c>
      <c r="K295" s="160" t="str">
        <f>Capacity!$O$30</f>
        <v/>
      </c>
      <c r="L295" s="161" t="s">
        <v>3</v>
      </c>
      <c r="M295" s="163">
        <f>Capacity!$S$30</f>
        <v>1.263157894736842</v>
      </c>
      <c r="N295" s="163">
        <f>Capacity!$T$30</f>
        <v>3</v>
      </c>
      <c r="O295" s="163">
        <f>Capacity!$U$30</f>
        <v>1.736842105263158</v>
      </c>
    </row>
    <row r="296" spans="1:15" x14ac:dyDescent="0.35">
      <c r="A296" s="160" t="s">
        <v>31</v>
      </c>
      <c r="B296" s="160">
        <v>2</v>
      </c>
      <c r="C296" s="160" t="s">
        <v>39</v>
      </c>
      <c r="D296" s="160" t="s">
        <v>12</v>
      </c>
      <c r="E296" s="160">
        <f>Capacity!$I$30</f>
        <v>1.5</v>
      </c>
      <c r="F296" s="160">
        <f>Capacity!$J$30</f>
        <v>1.5</v>
      </c>
      <c r="G296" s="160">
        <f>Capacity!$K$30</f>
        <v>1</v>
      </c>
      <c r="H296" s="160">
        <f>Capacity!$L$30</f>
        <v>285</v>
      </c>
      <c r="I296" s="160" t="str">
        <f>Capacity!$M$30</f>
        <v/>
      </c>
      <c r="J296" s="160" t="str">
        <f>Capacity!$N$30</f>
        <v/>
      </c>
      <c r="K296" s="160" t="str">
        <f>Capacity!$O$30</f>
        <v/>
      </c>
      <c r="L296" s="161" t="s">
        <v>3</v>
      </c>
      <c r="M296" s="167">
        <f>Capacity!$S$30</f>
        <v>1.263157894736842</v>
      </c>
      <c r="N296" s="167">
        <f>Capacity!$T$30</f>
        <v>3</v>
      </c>
      <c r="O296" s="167">
        <f>Capacity!$U$30</f>
        <v>1.736842105263158</v>
      </c>
    </row>
    <row r="297" spans="1:15" x14ac:dyDescent="0.35">
      <c r="A297" s="160" t="s">
        <v>31</v>
      </c>
      <c r="B297" s="160">
        <v>2</v>
      </c>
      <c r="C297" s="160" t="s">
        <v>39</v>
      </c>
      <c r="D297" s="160" t="s">
        <v>8</v>
      </c>
      <c r="E297" s="160">
        <f>Capacity!$E$30</f>
        <v>0</v>
      </c>
      <c r="F297" s="160">
        <f>Capacity!$J$30</f>
        <v>1.5</v>
      </c>
      <c r="G297" s="160">
        <f>Capacity!$K$30</f>
        <v>1</v>
      </c>
      <c r="H297" s="160">
        <f>Capacity!$L$30</f>
        <v>285</v>
      </c>
      <c r="I297" s="160" t="str">
        <f>Capacity!$M$30</f>
        <v/>
      </c>
      <c r="J297" s="160" t="str">
        <f>Capacity!$N$30</f>
        <v/>
      </c>
      <c r="K297" s="160" t="str">
        <f>Capacity!$O$30</f>
        <v/>
      </c>
      <c r="L297" s="161" t="s">
        <v>4</v>
      </c>
      <c r="M297" s="166">
        <f>Capacity!$V$30</f>
        <v>1.263157894736842</v>
      </c>
      <c r="N297" s="166">
        <f>Capacity!$W$30</f>
        <v>1.5</v>
      </c>
      <c r="O297" s="166">
        <f>Capacity!$X$30</f>
        <v>0.23684210526315796</v>
      </c>
    </row>
    <row r="298" spans="1:15" x14ac:dyDescent="0.35">
      <c r="A298" s="160" t="s">
        <v>31</v>
      </c>
      <c r="B298" s="160">
        <v>2</v>
      </c>
      <c r="C298" s="160" t="s">
        <v>39</v>
      </c>
      <c r="D298" s="160" t="s">
        <v>55</v>
      </c>
      <c r="E298" s="160">
        <f>Capacity!$F$30</f>
        <v>1.5</v>
      </c>
      <c r="F298" s="160">
        <f>Capacity!$J$30</f>
        <v>1.5</v>
      </c>
      <c r="G298" s="160">
        <f>Capacity!$K$30</f>
        <v>1</v>
      </c>
      <c r="H298" s="160">
        <f>Capacity!$L$30</f>
        <v>285</v>
      </c>
      <c r="I298" s="160" t="str">
        <f>Capacity!$M$30</f>
        <v/>
      </c>
      <c r="J298" s="160" t="str">
        <f>Capacity!$N$30</f>
        <v/>
      </c>
      <c r="K298" s="160" t="str">
        <f>Capacity!$O$30</f>
        <v/>
      </c>
      <c r="L298" s="161" t="s">
        <v>4</v>
      </c>
      <c r="M298" s="166">
        <f>Capacity!$V$30</f>
        <v>1.263157894736842</v>
      </c>
      <c r="N298" s="166">
        <f>Capacity!$W$30</f>
        <v>1.5</v>
      </c>
      <c r="O298" s="166">
        <f>Capacity!$X$30</f>
        <v>0.23684210526315796</v>
      </c>
    </row>
    <row r="299" spans="1:15" x14ac:dyDescent="0.35">
      <c r="A299" s="160" t="s">
        <v>31</v>
      </c>
      <c r="B299" s="160">
        <v>2</v>
      </c>
      <c r="C299" s="160" t="s">
        <v>39</v>
      </c>
      <c r="D299" s="160" t="s">
        <v>10</v>
      </c>
      <c r="E299" s="160">
        <f>Capacity!$G$30</f>
        <v>1.5</v>
      </c>
      <c r="F299" s="160">
        <f>Capacity!$J$30</f>
        <v>1.5</v>
      </c>
      <c r="G299" s="160">
        <f>Capacity!$K$30</f>
        <v>1</v>
      </c>
      <c r="H299" s="160">
        <f>Capacity!$L$30</f>
        <v>285</v>
      </c>
      <c r="I299" s="160" t="str">
        <f>Capacity!$M$30</f>
        <v/>
      </c>
      <c r="J299" s="160" t="str">
        <f>Capacity!$N$30</f>
        <v/>
      </c>
      <c r="K299" s="160" t="str">
        <f>Capacity!$O$30</f>
        <v/>
      </c>
      <c r="L299" s="161" t="s">
        <v>4</v>
      </c>
      <c r="M299" s="166">
        <f>Capacity!$V$30</f>
        <v>1.263157894736842</v>
      </c>
      <c r="N299" s="166">
        <f>Capacity!$W$30</f>
        <v>1.5</v>
      </c>
      <c r="O299" s="166">
        <f>Capacity!$X$30</f>
        <v>0.23684210526315796</v>
      </c>
    </row>
    <row r="300" spans="1:15" x14ac:dyDescent="0.35">
      <c r="A300" s="160" t="s">
        <v>31</v>
      </c>
      <c r="B300" s="160">
        <v>2</v>
      </c>
      <c r="C300" s="160" t="s">
        <v>39</v>
      </c>
      <c r="D300" s="160" t="s">
        <v>11</v>
      </c>
      <c r="E300" s="160">
        <f>Capacity!$H$30</f>
        <v>1.5</v>
      </c>
      <c r="F300" s="160">
        <f>Capacity!$J$30</f>
        <v>1.5</v>
      </c>
      <c r="G300" s="160">
        <f>Capacity!$K$30</f>
        <v>1</v>
      </c>
      <c r="H300" s="160">
        <f>Capacity!$L$30</f>
        <v>285</v>
      </c>
      <c r="I300" s="160" t="str">
        <f>Capacity!$M$30</f>
        <v/>
      </c>
      <c r="J300" s="160" t="str">
        <f>Capacity!$N$30</f>
        <v/>
      </c>
      <c r="K300" s="160" t="str">
        <f>Capacity!$O$30</f>
        <v/>
      </c>
      <c r="L300" s="161" t="s">
        <v>4</v>
      </c>
      <c r="M300" s="166">
        <f>Capacity!$V$30</f>
        <v>1.263157894736842</v>
      </c>
      <c r="N300" s="166">
        <f>Capacity!$W$30</f>
        <v>1.5</v>
      </c>
      <c r="O300" s="166">
        <f>Capacity!$X$30</f>
        <v>0.23684210526315796</v>
      </c>
    </row>
    <row r="301" spans="1:15" x14ac:dyDescent="0.35">
      <c r="A301" s="160" t="s">
        <v>31</v>
      </c>
      <c r="B301" s="160">
        <v>2</v>
      </c>
      <c r="C301" s="160" t="s">
        <v>39</v>
      </c>
      <c r="D301" s="160" t="s">
        <v>12</v>
      </c>
      <c r="E301" s="160">
        <f>Capacity!$I$30</f>
        <v>1.5</v>
      </c>
      <c r="F301" s="160">
        <f>Capacity!$J$30</f>
        <v>1.5</v>
      </c>
      <c r="G301" s="160">
        <f>Capacity!$K$30</f>
        <v>1</v>
      </c>
      <c r="H301" s="160">
        <f>Capacity!$L$30</f>
        <v>285</v>
      </c>
      <c r="I301" s="160" t="str">
        <f>Capacity!$M$30</f>
        <v/>
      </c>
      <c r="J301" s="160" t="str">
        <f>Capacity!$N$30</f>
        <v/>
      </c>
      <c r="K301" s="160" t="str">
        <f>Capacity!$O$30</f>
        <v/>
      </c>
      <c r="L301" s="171" t="s">
        <v>4</v>
      </c>
      <c r="M301" s="169">
        <f>Capacity!$V$30</f>
        <v>1.263157894736842</v>
      </c>
      <c r="N301" s="169">
        <f>Capacity!$W$30</f>
        <v>1.5</v>
      </c>
      <c r="O301" s="169">
        <f>Capacity!$X$30</f>
        <v>0.23684210526315796</v>
      </c>
    </row>
    <row r="302" spans="1:15" x14ac:dyDescent="0.35">
      <c r="A302" s="160" t="s">
        <v>31</v>
      </c>
      <c r="B302" s="160">
        <v>2</v>
      </c>
      <c r="C302" s="160" t="s">
        <v>39</v>
      </c>
      <c r="D302" s="160" t="s">
        <v>8</v>
      </c>
      <c r="E302" s="160">
        <f>Capacity!$E$30</f>
        <v>0</v>
      </c>
      <c r="F302" s="160">
        <f>Capacity!$J$30</f>
        <v>1.5</v>
      </c>
      <c r="G302" s="160">
        <f>Capacity!$K$30</f>
        <v>1</v>
      </c>
      <c r="H302" s="160">
        <f>Capacity!$L$30</f>
        <v>285</v>
      </c>
      <c r="I302" s="160" t="str">
        <f>Capacity!$M$30</f>
        <v/>
      </c>
      <c r="J302" s="160" t="str">
        <f>Capacity!$N$30</f>
        <v/>
      </c>
      <c r="K302" s="161" t="str">
        <f>Capacity!$O$30</f>
        <v/>
      </c>
      <c r="L302" s="160" t="s">
        <v>56</v>
      </c>
      <c r="M302" s="163">
        <f>Capacity!$Y$30</f>
        <v>20.425531914893618</v>
      </c>
      <c r="N302" s="163">
        <f>Capacity!$Z$30</f>
        <v>24.25531914893617</v>
      </c>
      <c r="O302" s="163">
        <f>Capacity!$AA$30</f>
        <v>3.8297872340425521</v>
      </c>
    </row>
    <row r="303" spans="1:15" x14ac:dyDescent="0.35">
      <c r="A303" s="160" t="s">
        <v>31</v>
      </c>
      <c r="B303" s="160">
        <v>2</v>
      </c>
      <c r="C303" s="160" t="s">
        <v>39</v>
      </c>
      <c r="D303" s="160" t="s">
        <v>55</v>
      </c>
      <c r="E303" s="160">
        <f>Capacity!$F$30</f>
        <v>1.5</v>
      </c>
      <c r="F303" s="160">
        <f>Capacity!$J$30</f>
        <v>1.5</v>
      </c>
      <c r="G303" s="160">
        <f>Capacity!$K$30</f>
        <v>1</v>
      </c>
      <c r="H303" s="160">
        <f>Capacity!$L$30</f>
        <v>285</v>
      </c>
      <c r="I303" s="160" t="str">
        <f>Capacity!$M$30</f>
        <v/>
      </c>
      <c r="J303" s="160" t="str">
        <f>Capacity!$N$30</f>
        <v/>
      </c>
      <c r="K303" s="161" t="str">
        <f>Capacity!$O$30</f>
        <v/>
      </c>
      <c r="L303" s="160" t="s">
        <v>56</v>
      </c>
      <c r="M303" s="163">
        <f>Capacity!$Y$30</f>
        <v>20.425531914893618</v>
      </c>
      <c r="N303" s="163">
        <f>Capacity!$Z$30</f>
        <v>24.25531914893617</v>
      </c>
      <c r="O303" s="163">
        <f>Capacity!$AA$30</f>
        <v>3.8297872340425521</v>
      </c>
    </row>
    <row r="304" spans="1:15" x14ac:dyDescent="0.35">
      <c r="A304" s="160" t="s">
        <v>31</v>
      </c>
      <c r="B304" s="160">
        <v>2</v>
      </c>
      <c r="C304" s="160" t="s">
        <v>39</v>
      </c>
      <c r="D304" s="160" t="s">
        <v>10</v>
      </c>
      <c r="E304" s="160">
        <f>Capacity!$G$30</f>
        <v>1.5</v>
      </c>
      <c r="F304" s="160">
        <f>Capacity!$J$30</f>
        <v>1.5</v>
      </c>
      <c r="G304" s="160">
        <f>Capacity!$K$30</f>
        <v>1</v>
      </c>
      <c r="H304" s="160">
        <f>Capacity!$L$30</f>
        <v>285</v>
      </c>
      <c r="I304" s="160" t="str">
        <f>Capacity!$M$30</f>
        <v/>
      </c>
      <c r="J304" s="160" t="str">
        <f>Capacity!$N$30</f>
        <v/>
      </c>
      <c r="K304" s="161" t="str">
        <f>Capacity!$O$30</f>
        <v/>
      </c>
      <c r="L304" s="160" t="s">
        <v>56</v>
      </c>
      <c r="M304" s="163">
        <f>Capacity!$Y$30</f>
        <v>20.425531914893618</v>
      </c>
      <c r="N304" s="163">
        <f>Capacity!$Z$30</f>
        <v>24.25531914893617</v>
      </c>
      <c r="O304" s="163">
        <f>Capacity!$AA$30</f>
        <v>3.8297872340425521</v>
      </c>
    </row>
    <row r="305" spans="1:15" x14ac:dyDescent="0.35">
      <c r="A305" s="160" t="s">
        <v>31</v>
      </c>
      <c r="B305" s="160">
        <v>2</v>
      </c>
      <c r="C305" s="160" t="s">
        <v>39</v>
      </c>
      <c r="D305" s="160" t="s">
        <v>11</v>
      </c>
      <c r="E305" s="160">
        <f>Capacity!$H$30</f>
        <v>1.5</v>
      </c>
      <c r="F305" s="160">
        <f>Capacity!$J$30</f>
        <v>1.5</v>
      </c>
      <c r="G305" s="160">
        <f>Capacity!$K$30</f>
        <v>1</v>
      </c>
      <c r="H305" s="160">
        <f>Capacity!$L$30</f>
        <v>285</v>
      </c>
      <c r="I305" s="160" t="str">
        <f>Capacity!$M$30</f>
        <v/>
      </c>
      <c r="J305" s="160" t="str">
        <f>Capacity!$N$30</f>
        <v/>
      </c>
      <c r="K305" s="161" t="str">
        <f>Capacity!$O$30</f>
        <v/>
      </c>
      <c r="L305" s="160" t="s">
        <v>56</v>
      </c>
      <c r="M305" s="163">
        <f>Capacity!$Y$30</f>
        <v>20.425531914893618</v>
      </c>
      <c r="N305" s="163">
        <f>Capacity!$Z$30</f>
        <v>24.25531914893617</v>
      </c>
      <c r="O305" s="163">
        <f>Capacity!$AA$30</f>
        <v>3.8297872340425521</v>
      </c>
    </row>
    <row r="306" spans="1:15" x14ac:dyDescent="0.35">
      <c r="A306" s="165" t="s">
        <v>31</v>
      </c>
      <c r="B306" s="165">
        <v>2</v>
      </c>
      <c r="C306" s="165" t="s">
        <v>39</v>
      </c>
      <c r="D306" s="165" t="s">
        <v>12</v>
      </c>
      <c r="E306" s="165">
        <f>Capacity!$I$30</f>
        <v>1.5</v>
      </c>
      <c r="F306" s="165">
        <f>Capacity!$J$30</f>
        <v>1.5</v>
      </c>
      <c r="G306" s="165">
        <f>Capacity!$K$30</f>
        <v>1</v>
      </c>
      <c r="H306" s="165">
        <f>Capacity!$L$30</f>
        <v>285</v>
      </c>
      <c r="I306" s="165" t="str">
        <f>Capacity!$M$30</f>
        <v/>
      </c>
      <c r="J306" s="165" t="str">
        <f>Capacity!$N$30</f>
        <v/>
      </c>
      <c r="K306" s="171" t="str">
        <f>Capacity!$O$30</f>
        <v/>
      </c>
      <c r="L306" s="165" t="s">
        <v>56</v>
      </c>
      <c r="M306" s="167">
        <f>Capacity!$Y$30</f>
        <v>20.425531914893618</v>
      </c>
      <c r="N306" s="167">
        <f>Capacity!$Z$30</f>
        <v>24.25531914893617</v>
      </c>
      <c r="O306" s="167">
        <f>Capacity!$AA$30</f>
        <v>3.8297872340425521</v>
      </c>
    </row>
    <row r="307" spans="1:15" x14ac:dyDescent="0.35">
      <c r="A307" s="160" t="s">
        <v>32</v>
      </c>
      <c r="B307" s="160">
        <v>3</v>
      </c>
      <c r="C307" s="160" t="s">
        <v>39</v>
      </c>
      <c r="D307" s="160" t="s">
        <v>8</v>
      </c>
      <c r="E307" s="160">
        <f>Capacity!$E$31</f>
        <v>0</v>
      </c>
      <c r="F307" s="160">
        <f>Capacity!$J$31</f>
        <v>1.5</v>
      </c>
      <c r="G307" s="160">
        <f>Capacity!$K$31</f>
        <v>1</v>
      </c>
      <c r="H307" s="160">
        <f>Capacity!$L$31</f>
        <v>285</v>
      </c>
      <c r="I307" s="160" t="str">
        <f>Capacity!$M$31</f>
        <v/>
      </c>
      <c r="J307" s="160" t="str">
        <f>Capacity!$N$31</f>
        <v/>
      </c>
      <c r="K307" s="160" t="str">
        <f>Capacity!$O$31</f>
        <v/>
      </c>
      <c r="L307" s="160" t="s">
        <v>2</v>
      </c>
      <c r="M307" s="160">
        <f>Capacity!$P$31</f>
        <v>240</v>
      </c>
      <c r="N307" s="160">
        <f>Capacity!$Q$31</f>
        <v>285</v>
      </c>
      <c r="O307" s="160">
        <f>Capacity!$R$31</f>
        <v>45</v>
      </c>
    </row>
    <row r="308" spans="1:15" x14ac:dyDescent="0.35">
      <c r="A308" s="160" t="s">
        <v>32</v>
      </c>
      <c r="B308" s="160">
        <v>3</v>
      </c>
      <c r="C308" s="160" t="s">
        <v>39</v>
      </c>
      <c r="D308" s="160" t="s">
        <v>55</v>
      </c>
      <c r="E308" s="160">
        <f>Capacity!$F$31</f>
        <v>1.5</v>
      </c>
      <c r="F308" s="160">
        <f>Capacity!$J$31</f>
        <v>1.5</v>
      </c>
      <c r="G308" s="160">
        <f>Capacity!$K$31</f>
        <v>1</v>
      </c>
      <c r="H308" s="160">
        <f>Capacity!$L$31</f>
        <v>285</v>
      </c>
      <c r="I308" s="160" t="str">
        <f>Capacity!$M$31</f>
        <v/>
      </c>
      <c r="J308" s="160" t="str">
        <f>Capacity!$N$31</f>
        <v/>
      </c>
      <c r="K308" s="160" t="str">
        <f>Capacity!$O$31</f>
        <v/>
      </c>
      <c r="L308" s="160" t="s">
        <v>2</v>
      </c>
      <c r="M308" s="160">
        <f>Capacity!$P$31</f>
        <v>240</v>
      </c>
      <c r="N308" s="160">
        <f>Capacity!$Q$31</f>
        <v>285</v>
      </c>
      <c r="O308" s="160">
        <f>Capacity!$R$31</f>
        <v>45</v>
      </c>
    </row>
    <row r="309" spans="1:15" x14ac:dyDescent="0.35">
      <c r="A309" s="160" t="s">
        <v>32</v>
      </c>
      <c r="B309" s="160">
        <v>3</v>
      </c>
      <c r="C309" s="160" t="s">
        <v>39</v>
      </c>
      <c r="D309" s="160" t="s">
        <v>10</v>
      </c>
      <c r="E309" s="160">
        <f>Capacity!$G$31</f>
        <v>1.5</v>
      </c>
      <c r="F309" s="160">
        <f>Capacity!$J$31</f>
        <v>1.5</v>
      </c>
      <c r="G309" s="160">
        <f>Capacity!$K$31</f>
        <v>1</v>
      </c>
      <c r="H309" s="160">
        <f>Capacity!$L$31</f>
        <v>285</v>
      </c>
      <c r="I309" s="160" t="str">
        <f>Capacity!$M$31</f>
        <v/>
      </c>
      <c r="J309" s="160" t="str">
        <f>Capacity!$N$31</f>
        <v/>
      </c>
      <c r="K309" s="160" t="str">
        <f>Capacity!$O$31</f>
        <v/>
      </c>
      <c r="L309" s="160" t="s">
        <v>2</v>
      </c>
      <c r="M309" s="160">
        <f>Capacity!$P$31</f>
        <v>240</v>
      </c>
      <c r="N309" s="160">
        <f>Capacity!$Q$31</f>
        <v>285</v>
      </c>
      <c r="O309" s="160">
        <f>Capacity!$R$31</f>
        <v>45</v>
      </c>
    </row>
    <row r="310" spans="1:15" x14ac:dyDescent="0.35">
      <c r="A310" s="160" t="s">
        <v>32</v>
      </c>
      <c r="B310" s="160">
        <v>3</v>
      </c>
      <c r="C310" s="160" t="s">
        <v>39</v>
      </c>
      <c r="D310" s="160" t="s">
        <v>11</v>
      </c>
      <c r="E310" s="160">
        <f>Capacity!$H$31</f>
        <v>1.5</v>
      </c>
      <c r="F310" s="160">
        <f>Capacity!$J$31</f>
        <v>1.5</v>
      </c>
      <c r="G310" s="160">
        <f>Capacity!$K$31</f>
        <v>1</v>
      </c>
      <c r="H310" s="160">
        <f>Capacity!$L$31</f>
        <v>285</v>
      </c>
      <c r="I310" s="160" t="str">
        <f>Capacity!$M$31</f>
        <v/>
      </c>
      <c r="J310" s="160" t="str">
        <f>Capacity!$N$31</f>
        <v/>
      </c>
      <c r="K310" s="160" t="str">
        <f>Capacity!$O$31</f>
        <v/>
      </c>
      <c r="L310" s="160" t="s">
        <v>2</v>
      </c>
      <c r="M310" s="160">
        <f>Capacity!$P$31</f>
        <v>240</v>
      </c>
      <c r="N310" s="160">
        <f>Capacity!$Q$31</f>
        <v>285</v>
      </c>
      <c r="O310" s="160">
        <f>Capacity!$R$31</f>
        <v>45</v>
      </c>
    </row>
    <row r="311" spans="1:15" x14ac:dyDescent="0.35">
      <c r="A311" s="160" t="s">
        <v>32</v>
      </c>
      <c r="B311" s="160">
        <v>3</v>
      </c>
      <c r="C311" s="160" t="s">
        <v>39</v>
      </c>
      <c r="D311" s="160" t="s">
        <v>12</v>
      </c>
      <c r="E311" s="160">
        <f>Capacity!$I$31</f>
        <v>1.5</v>
      </c>
      <c r="F311" s="160">
        <f>Capacity!$J$31</f>
        <v>1.5</v>
      </c>
      <c r="G311" s="160">
        <f>Capacity!$K$31</f>
        <v>1</v>
      </c>
      <c r="H311" s="160">
        <f>Capacity!$L$31</f>
        <v>285</v>
      </c>
      <c r="I311" s="160" t="str">
        <f>Capacity!$M$31</f>
        <v/>
      </c>
      <c r="J311" s="160" t="str">
        <f>Capacity!$N$31</f>
        <v/>
      </c>
      <c r="K311" s="160" t="str">
        <f>Capacity!$O$31</f>
        <v/>
      </c>
      <c r="L311" s="165" t="s">
        <v>2</v>
      </c>
      <c r="M311" s="165">
        <f>Capacity!$P$31</f>
        <v>240</v>
      </c>
      <c r="N311" s="165">
        <f>Capacity!$Q$31</f>
        <v>285</v>
      </c>
      <c r="O311" s="165">
        <f>Capacity!$R$31</f>
        <v>45</v>
      </c>
    </row>
    <row r="312" spans="1:15" x14ac:dyDescent="0.35">
      <c r="A312" s="160" t="s">
        <v>32</v>
      </c>
      <c r="B312" s="160">
        <v>3</v>
      </c>
      <c r="C312" s="160" t="s">
        <v>39</v>
      </c>
      <c r="D312" s="160" t="s">
        <v>8</v>
      </c>
      <c r="E312" s="160">
        <f>Capacity!$E$31</f>
        <v>0</v>
      </c>
      <c r="F312" s="160">
        <f>Capacity!$J$31</f>
        <v>1.5</v>
      </c>
      <c r="G312" s="160">
        <f>Capacity!$K$31</f>
        <v>1</v>
      </c>
      <c r="H312" s="160">
        <f>Capacity!$L$31</f>
        <v>285</v>
      </c>
      <c r="I312" s="160" t="str">
        <f>Capacity!$M$31</f>
        <v/>
      </c>
      <c r="J312" s="160" t="str">
        <f>Capacity!$N$31</f>
        <v/>
      </c>
      <c r="K312" s="161" t="str">
        <f>Capacity!$O$31</f>
        <v/>
      </c>
      <c r="L312" s="160" t="s">
        <v>3</v>
      </c>
      <c r="M312" s="163">
        <f>Capacity!$S$31</f>
        <v>1.263157894736842</v>
      </c>
      <c r="N312" s="163">
        <f>Capacity!$T$31</f>
        <v>3</v>
      </c>
      <c r="O312" s="163">
        <f>Capacity!$U$31</f>
        <v>1.736842105263158</v>
      </c>
    </row>
    <row r="313" spans="1:15" x14ac:dyDescent="0.35">
      <c r="A313" s="160" t="s">
        <v>32</v>
      </c>
      <c r="B313" s="160">
        <v>3</v>
      </c>
      <c r="C313" s="160" t="s">
        <v>39</v>
      </c>
      <c r="D313" s="160" t="s">
        <v>55</v>
      </c>
      <c r="E313" s="160">
        <f>Capacity!$F$31</f>
        <v>1.5</v>
      </c>
      <c r="F313" s="160">
        <f>Capacity!$J$31</f>
        <v>1.5</v>
      </c>
      <c r="G313" s="160">
        <f>Capacity!$K$31</f>
        <v>1</v>
      </c>
      <c r="H313" s="160">
        <f>Capacity!$L$31</f>
        <v>285</v>
      </c>
      <c r="I313" s="160" t="str">
        <f>Capacity!$M$31</f>
        <v/>
      </c>
      <c r="J313" s="160" t="str">
        <f>Capacity!$N$31</f>
        <v/>
      </c>
      <c r="K313" s="161" t="str">
        <f>Capacity!$O$31</f>
        <v/>
      </c>
      <c r="L313" s="160" t="s">
        <v>3</v>
      </c>
      <c r="M313" s="163">
        <f>Capacity!$S$31</f>
        <v>1.263157894736842</v>
      </c>
      <c r="N313" s="163">
        <f>Capacity!$T$31</f>
        <v>3</v>
      </c>
      <c r="O313" s="163">
        <f>Capacity!$U$31</f>
        <v>1.736842105263158</v>
      </c>
    </row>
    <row r="314" spans="1:15" x14ac:dyDescent="0.35">
      <c r="A314" s="160" t="s">
        <v>32</v>
      </c>
      <c r="B314" s="160">
        <v>3</v>
      </c>
      <c r="C314" s="160" t="s">
        <v>39</v>
      </c>
      <c r="D314" s="160" t="s">
        <v>10</v>
      </c>
      <c r="E314" s="160">
        <f>Capacity!$G$31</f>
        <v>1.5</v>
      </c>
      <c r="F314" s="160">
        <f>Capacity!$J$31</f>
        <v>1.5</v>
      </c>
      <c r="G314" s="160">
        <f>Capacity!$K$31</f>
        <v>1</v>
      </c>
      <c r="H314" s="160">
        <f>Capacity!$L$31</f>
        <v>285</v>
      </c>
      <c r="I314" s="160" t="str">
        <f>Capacity!$M$31</f>
        <v/>
      </c>
      <c r="J314" s="160" t="str">
        <f>Capacity!$N$31</f>
        <v/>
      </c>
      <c r="K314" s="161" t="str">
        <f>Capacity!$O$31</f>
        <v/>
      </c>
      <c r="L314" s="160" t="s">
        <v>3</v>
      </c>
      <c r="M314" s="163">
        <f>Capacity!$S$31</f>
        <v>1.263157894736842</v>
      </c>
      <c r="N314" s="163">
        <f>Capacity!$T$31</f>
        <v>3</v>
      </c>
      <c r="O314" s="163">
        <f>Capacity!$U$31</f>
        <v>1.736842105263158</v>
      </c>
    </row>
    <row r="315" spans="1:15" x14ac:dyDescent="0.35">
      <c r="A315" s="160" t="s">
        <v>32</v>
      </c>
      <c r="B315" s="160">
        <v>3</v>
      </c>
      <c r="C315" s="160" t="s">
        <v>39</v>
      </c>
      <c r="D315" s="160" t="s">
        <v>11</v>
      </c>
      <c r="E315" s="160">
        <f>Capacity!$H$31</f>
        <v>1.5</v>
      </c>
      <c r="F315" s="160">
        <f>Capacity!$J$31</f>
        <v>1.5</v>
      </c>
      <c r="G315" s="160">
        <f>Capacity!$K$31</f>
        <v>1</v>
      </c>
      <c r="H315" s="160">
        <f>Capacity!$L$31</f>
        <v>285</v>
      </c>
      <c r="I315" s="160" t="str">
        <f>Capacity!$M$31</f>
        <v/>
      </c>
      <c r="J315" s="160" t="str">
        <f>Capacity!$N$31</f>
        <v/>
      </c>
      <c r="K315" s="161" t="str">
        <f>Capacity!$O$31</f>
        <v/>
      </c>
      <c r="L315" s="160" t="s">
        <v>3</v>
      </c>
      <c r="M315" s="163">
        <f>Capacity!$S$31</f>
        <v>1.263157894736842</v>
      </c>
      <c r="N315" s="163">
        <f>Capacity!$T$31</f>
        <v>3</v>
      </c>
      <c r="O315" s="163">
        <f>Capacity!$U$31</f>
        <v>1.736842105263158</v>
      </c>
    </row>
    <row r="316" spans="1:15" x14ac:dyDescent="0.35">
      <c r="A316" s="160" t="s">
        <v>32</v>
      </c>
      <c r="B316" s="160">
        <v>3</v>
      </c>
      <c r="C316" s="160" t="s">
        <v>39</v>
      </c>
      <c r="D316" s="160" t="s">
        <v>12</v>
      </c>
      <c r="E316" s="160">
        <f>Capacity!$I$31</f>
        <v>1.5</v>
      </c>
      <c r="F316" s="160">
        <f>Capacity!$J$31</f>
        <v>1.5</v>
      </c>
      <c r="G316" s="160">
        <f>Capacity!$K$31</f>
        <v>1</v>
      </c>
      <c r="H316" s="160">
        <f>Capacity!$L$31</f>
        <v>285</v>
      </c>
      <c r="I316" s="160" t="str">
        <f>Capacity!$M$31</f>
        <v/>
      </c>
      <c r="J316" s="160" t="str">
        <f>Capacity!$N$31</f>
        <v/>
      </c>
      <c r="K316" s="161" t="str">
        <f>Capacity!$O$31</f>
        <v/>
      </c>
      <c r="L316" s="165" t="s">
        <v>3</v>
      </c>
      <c r="M316" s="167">
        <f>Capacity!$S$31</f>
        <v>1.263157894736842</v>
      </c>
      <c r="N316" s="167">
        <f>Capacity!$T$31</f>
        <v>3</v>
      </c>
      <c r="O316" s="167">
        <f>Capacity!$U$31</f>
        <v>1.736842105263158</v>
      </c>
    </row>
    <row r="317" spans="1:15" x14ac:dyDescent="0.35">
      <c r="A317" s="160" t="s">
        <v>32</v>
      </c>
      <c r="B317" s="160">
        <v>3</v>
      </c>
      <c r="C317" s="160" t="s">
        <v>39</v>
      </c>
      <c r="D317" s="160" t="s">
        <v>8</v>
      </c>
      <c r="E317" s="160">
        <f>Capacity!$E$31</f>
        <v>0</v>
      </c>
      <c r="F317" s="160">
        <f>Capacity!$J$31</f>
        <v>1.5</v>
      </c>
      <c r="G317" s="160">
        <f>Capacity!$K$31</f>
        <v>1</v>
      </c>
      <c r="H317" s="160">
        <f>Capacity!$L$31</f>
        <v>285</v>
      </c>
      <c r="I317" s="160" t="str">
        <f>Capacity!$M$31</f>
        <v/>
      </c>
      <c r="J317" s="160" t="str">
        <f>Capacity!$N$31</f>
        <v/>
      </c>
      <c r="K317" s="161" t="str">
        <f>Capacity!$O$31</f>
        <v/>
      </c>
      <c r="L317" s="160" t="s">
        <v>4</v>
      </c>
      <c r="M317" s="166">
        <f>Capacity!$V$31</f>
        <v>1.263157894736842</v>
      </c>
      <c r="N317" s="166">
        <f>Capacity!$W$31</f>
        <v>1.5</v>
      </c>
      <c r="O317" s="166">
        <f>Capacity!$X$31</f>
        <v>0.23684210526315796</v>
      </c>
    </row>
    <row r="318" spans="1:15" x14ac:dyDescent="0.35">
      <c r="A318" s="160" t="s">
        <v>32</v>
      </c>
      <c r="B318" s="160">
        <v>3</v>
      </c>
      <c r="C318" s="160" t="s">
        <v>39</v>
      </c>
      <c r="D318" s="160" t="s">
        <v>55</v>
      </c>
      <c r="E318" s="160">
        <f>Capacity!$F$31</f>
        <v>1.5</v>
      </c>
      <c r="F318" s="160">
        <f>Capacity!$J$31</f>
        <v>1.5</v>
      </c>
      <c r="G318" s="160">
        <f>Capacity!$K$31</f>
        <v>1</v>
      </c>
      <c r="H318" s="160">
        <f>Capacity!$L$31</f>
        <v>285</v>
      </c>
      <c r="I318" s="160" t="str">
        <f>Capacity!$M$31</f>
        <v/>
      </c>
      <c r="J318" s="160" t="str">
        <f>Capacity!$N$31</f>
        <v/>
      </c>
      <c r="K318" s="161" t="str">
        <f>Capacity!$O$31</f>
        <v/>
      </c>
      <c r="L318" s="160" t="s">
        <v>4</v>
      </c>
      <c r="M318" s="166">
        <f>Capacity!$V$31</f>
        <v>1.263157894736842</v>
      </c>
      <c r="N318" s="166">
        <f>Capacity!$W$31</f>
        <v>1.5</v>
      </c>
      <c r="O318" s="166">
        <f>Capacity!$X$31</f>
        <v>0.23684210526315796</v>
      </c>
    </row>
    <row r="319" spans="1:15" x14ac:dyDescent="0.35">
      <c r="A319" s="160" t="s">
        <v>32</v>
      </c>
      <c r="B319" s="160">
        <v>3</v>
      </c>
      <c r="C319" s="160" t="s">
        <v>39</v>
      </c>
      <c r="D319" s="160" t="s">
        <v>10</v>
      </c>
      <c r="E319" s="160">
        <f>Capacity!$G$31</f>
        <v>1.5</v>
      </c>
      <c r="F319" s="160">
        <f>Capacity!$J$31</f>
        <v>1.5</v>
      </c>
      <c r="G319" s="160">
        <f>Capacity!$K$31</f>
        <v>1</v>
      </c>
      <c r="H319" s="160">
        <f>Capacity!$L$31</f>
        <v>285</v>
      </c>
      <c r="I319" s="160" t="str">
        <f>Capacity!$M$31</f>
        <v/>
      </c>
      <c r="J319" s="160" t="str">
        <f>Capacity!$N$31</f>
        <v/>
      </c>
      <c r="K319" s="161" t="str">
        <f>Capacity!$O$31</f>
        <v/>
      </c>
      <c r="L319" s="160" t="s">
        <v>4</v>
      </c>
      <c r="M319" s="166">
        <f>Capacity!$V$31</f>
        <v>1.263157894736842</v>
      </c>
      <c r="N319" s="166">
        <f>Capacity!$W$31</f>
        <v>1.5</v>
      </c>
      <c r="O319" s="166">
        <f>Capacity!$X$31</f>
        <v>0.23684210526315796</v>
      </c>
    </row>
    <row r="320" spans="1:15" x14ac:dyDescent="0.35">
      <c r="A320" s="160" t="s">
        <v>32</v>
      </c>
      <c r="B320" s="160">
        <v>3</v>
      </c>
      <c r="C320" s="160" t="s">
        <v>39</v>
      </c>
      <c r="D320" s="160" t="s">
        <v>11</v>
      </c>
      <c r="E320" s="160">
        <f>Capacity!$H$31</f>
        <v>1.5</v>
      </c>
      <c r="F320" s="160">
        <f>Capacity!$J$31</f>
        <v>1.5</v>
      </c>
      <c r="G320" s="160">
        <f>Capacity!$K$31</f>
        <v>1</v>
      </c>
      <c r="H320" s="160">
        <f>Capacity!$L$31</f>
        <v>285</v>
      </c>
      <c r="I320" s="160" t="str">
        <f>Capacity!$M$31</f>
        <v/>
      </c>
      <c r="J320" s="160" t="str">
        <f>Capacity!$N$31</f>
        <v/>
      </c>
      <c r="K320" s="161" t="str">
        <f>Capacity!$O$31</f>
        <v/>
      </c>
      <c r="L320" s="160" t="s">
        <v>4</v>
      </c>
      <c r="M320" s="166">
        <f>Capacity!$V$31</f>
        <v>1.263157894736842</v>
      </c>
      <c r="N320" s="166">
        <f>Capacity!$W$31</f>
        <v>1.5</v>
      </c>
      <c r="O320" s="166">
        <f>Capacity!$X$31</f>
        <v>0.23684210526315796</v>
      </c>
    </row>
    <row r="321" spans="1:15" x14ac:dyDescent="0.35">
      <c r="A321" s="160" t="s">
        <v>32</v>
      </c>
      <c r="B321" s="160">
        <v>3</v>
      </c>
      <c r="C321" s="160" t="s">
        <v>39</v>
      </c>
      <c r="D321" s="160" t="s">
        <v>12</v>
      </c>
      <c r="E321" s="160">
        <f>Capacity!$I$31</f>
        <v>1.5</v>
      </c>
      <c r="F321" s="160">
        <f>Capacity!$J$31</f>
        <v>1.5</v>
      </c>
      <c r="G321" s="160">
        <f>Capacity!$K$31</f>
        <v>1</v>
      </c>
      <c r="H321" s="160">
        <f>Capacity!$L$31</f>
        <v>285</v>
      </c>
      <c r="I321" s="160" t="str">
        <f>Capacity!$M$31</f>
        <v/>
      </c>
      <c r="J321" s="160" t="str">
        <f>Capacity!$N$31</f>
        <v/>
      </c>
      <c r="K321" s="161" t="str">
        <f>Capacity!$O$31</f>
        <v/>
      </c>
      <c r="L321" s="165" t="s">
        <v>4</v>
      </c>
      <c r="M321" s="169">
        <f>Capacity!$V$31</f>
        <v>1.263157894736842</v>
      </c>
      <c r="N321" s="169">
        <f>Capacity!$W$31</f>
        <v>1.5</v>
      </c>
      <c r="O321" s="169">
        <f>Capacity!$X$31</f>
        <v>0.23684210526315796</v>
      </c>
    </row>
    <row r="322" spans="1:15" x14ac:dyDescent="0.35">
      <c r="A322" s="160" t="s">
        <v>32</v>
      </c>
      <c r="B322" s="160">
        <v>3</v>
      </c>
      <c r="C322" s="160" t="s">
        <v>39</v>
      </c>
      <c r="D322" s="160" t="s">
        <v>8</v>
      </c>
      <c r="E322" s="160">
        <f>Capacity!$E$31</f>
        <v>0</v>
      </c>
      <c r="F322" s="160">
        <f>Capacity!$J$31</f>
        <v>1.5</v>
      </c>
      <c r="G322" s="160">
        <f>Capacity!$K$31</f>
        <v>1</v>
      </c>
      <c r="H322" s="160">
        <f>Capacity!$L$31</f>
        <v>285</v>
      </c>
      <c r="I322" s="160" t="str">
        <f>Capacity!$M$31</f>
        <v/>
      </c>
      <c r="J322" s="160" t="str">
        <f>Capacity!$N$31</f>
        <v/>
      </c>
      <c r="K322" s="161" t="str">
        <f>Capacity!$O$31</f>
        <v/>
      </c>
      <c r="L322" s="160" t="s">
        <v>56</v>
      </c>
      <c r="M322" s="163">
        <f>Capacity!$Y$31</f>
        <v>20.425531914893618</v>
      </c>
      <c r="N322" s="163">
        <f>Capacity!$Z$31</f>
        <v>24.25531914893617</v>
      </c>
      <c r="O322" s="163">
        <f>Capacity!$AA$31</f>
        <v>3.8297872340425521</v>
      </c>
    </row>
    <row r="323" spans="1:15" x14ac:dyDescent="0.35">
      <c r="A323" s="160" t="s">
        <v>32</v>
      </c>
      <c r="B323" s="160">
        <v>3</v>
      </c>
      <c r="C323" s="160" t="s">
        <v>39</v>
      </c>
      <c r="D323" s="160" t="s">
        <v>55</v>
      </c>
      <c r="E323" s="160">
        <f>Capacity!$F$31</f>
        <v>1.5</v>
      </c>
      <c r="F323" s="160">
        <f>Capacity!$J$31</f>
        <v>1.5</v>
      </c>
      <c r="G323" s="160">
        <f>Capacity!$K$31</f>
        <v>1</v>
      </c>
      <c r="H323" s="160">
        <f>Capacity!$L$31</f>
        <v>285</v>
      </c>
      <c r="I323" s="160" t="str">
        <f>Capacity!$M$31</f>
        <v/>
      </c>
      <c r="J323" s="160" t="str">
        <f>Capacity!$N$31</f>
        <v/>
      </c>
      <c r="K323" s="161" t="str">
        <f>Capacity!$O$31</f>
        <v/>
      </c>
      <c r="L323" s="160" t="s">
        <v>56</v>
      </c>
      <c r="M323" s="163">
        <f>Capacity!$Y$31</f>
        <v>20.425531914893618</v>
      </c>
      <c r="N323" s="163">
        <f>Capacity!$Z$31</f>
        <v>24.25531914893617</v>
      </c>
      <c r="O323" s="163">
        <f>Capacity!$AA$31</f>
        <v>3.8297872340425521</v>
      </c>
    </row>
    <row r="324" spans="1:15" x14ac:dyDescent="0.35">
      <c r="A324" s="160" t="s">
        <v>32</v>
      </c>
      <c r="B324" s="160">
        <v>3</v>
      </c>
      <c r="C324" s="160" t="s">
        <v>39</v>
      </c>
      <c r="D324" s="160" t="s">
        <v>10</v>
      </c>
      <c r="E324" s="160">
        <f>Capacity!$G$31</f>
        <v>1.5</v>
      </c>
      <c r="F324" s="160">
        <f>Capacity!$J$31</f>
        <v>1.5</v>
      </c>
      <c r="G324" s="160">
        <f>Capacity!$K$31</f>
        <v>1</v>
      </c>
      <c r="H324" s="160">
        <f>Capacity!$L$31</f>
        <v>285</v>
      </c>
      <c r="I324" s="160" t="str">
        <f>Capacity!$M$31</f>
        <v/>
      </c>
      <c r="J324" s="160" t="str">
        <f>Capacity!$N$31</f>
        <v/>
      </c>
      <c r="K324" s="161" t="str">
        <f>Capacity!$O$31</f>
        <v/>
      </c>
      <c r="L324" s="160" t="s">
        <v>56</v>
      </c>
      <c r="M324" s="163">
        <f>Capacity!$Y$31</f>
        <v>20.425531914893618</v>
      </c>
      <c r="N324" s="163">
        <f>Capacity!$Z$31</f>
        <v>24.25531914893617</v>
      </c>
      <c r="O324" s="163">
        <f>Capacity!$AA$31</f>
        <v>3.8297872340425521</v>
      </c>
    </row>
    <row r="325" spans="1:15" x14ac:dyDescent="0.35">
      <c r="A325" s="160" t="s">
        <v>32</v>
      </c>
      <c r="B325" s="160">
        <v>3</v>
      </c>
      <c r="C325" s="160" t="s">
        <v>39</v>
      </c>
      <c r="D325" s="160" t="s">
        <v>11</v>
      </c>
      <c r="E325" s="160">
        <f>Capacity!$H$31</f>
        <v>1.5</v>
      </c>
      <c r="F325" s="160">
        <f>Capacity!$J$31</f>
        <v>1.5</v>
      </c>
      <c r="G325" s="160">
        <f>Capacity!$K$31</f>
        <v>1</v>
      </c>
      <c r="H325" s="160">
        <f>Capacity!$L$31</f>
        <v>285</v>
      </c>
      <c r="I325" s="160" t="str">
        <f>Capacity!$M$31</f>
        <v/>
      </c>
      <c r="J325" s="160" t="str">
        <f>Capacity!$N$31</f>
        <v/>
      </c>
      <c r="K325" s="161" t="str">
        <f>Capacity!$O$31</f>
        <v/>
      </c>
      <c r="L325" s="160" t="s">
        <v>56</v>
      </c>
      <c r="M325" s="163">
        <f>Capacity!$Y$31</f>
        <v>20.425531914893618</v>
      </c>
      <c r="N325" s="163">
        <f>Capacity!$Z$31</f>
        <v>24.25531914893617</v>
      </c>
      <c r="O325" s="163">
        <f>Capacity!$AA$31</f>
        <v>3.8297872340425521</v>
      </c>
    </row>
    <row r="326" spans="1:15" x14ac:dyDescent="0.35">
      <c r="A326" s="165" t="s">
        <v>32</v>
      </c>
      <c r="B326" s="165">
        <v>3</v>
      </c>
      <c r="C326" s="165" t="s">
        <v>39</v>
      </c>
      <c r="D326" s="165" t="s">
        <v>12</v>
      </c>
      <c r="E326" s="165">
        <f>Capacity!$I$31</f>
        <v>1.5</v>
      </c>
      <c r="F326" s="165">
        <f>Capacity!$J$31</f>
        <v>1.5</v>
      </c>
      <c r="G326" s="165">
        <f>Capacity!$K$31</f>
        <v>1</v>
      </c>
      <c r="H326" s="165">
        <f>Capacity!$L$31</f>
        <v>285</v>
      </c>
      <c r="I326" s="165" t="str">
        <f>Capacity!$M$31</f>
        <v/>
      </c>
      <c r="J326" s="165" t="str">
        <f>Capacity!$N$31</f>
        <v/>
      </c>
      <c r="K326" s="171" t="str">
        <f>Capacity!$O$31</f>
        <v/>
      </c>
      <c r="L326" s="165" t="s">
        <v>56</v>
      </c>
      <c r="M326" s="167">
        <f>Capacity!$Y$31</f>
        <v>20.425531914893618</v>
      </c>
      <c r="N326" s="167">
        <f>Capacity!$Z$31</f>
        <v>24.25531914893617</v>
      </c>
      <c r="O326" s="167">
        <f>Capacity!$AA$31</f>
        <v>3.8297872340425521</v>
      </c>
    </row>
    <row r="327" spans="1:15" x14ac:dyDescent="0.35">
      <c r="A327" s="160" t="s">
        <v>33</v>
      </c>
      <c r="B327" s="160">
        <v>4</v>
      </c>
      <c r="C327" s="160" t="s">
        <v>39</v>
      </c>
      <c r="D327" s="160" t="s">
        <v>8</v>
      </c>
      <c r="E327" s="160">
        <f>Capacity!$E$32</f>
        <v>0</v>
      </c>
      <c r="F327" s="160">
        <f>Capacity!$J$32</f>
        <v>1.5</v>
      </c>
      <c r="G327" s="160">
        <f>Capacity!$K$32</f>
        <v>1</v>
      </c>
      <c r="H327" s="160">
        <f>Capacity!$L$32</f>
        <v>285</v>
      </c>
      <c r="I327" s="160" t="str">
        <f>Capacity!$M$32</f>
        <v/>
      </c>
      <c r="J327" s="160" t="str">
        <f>Capacity!$N$32</f>
        <v/>
      </c>
      <c r="K327" s="160" t="str">
        <f>Capacity!$O$32</f>
        <v/>
      </c>
      <c r="L327" s="160" t="s">
        <v>2</v>
      </c>
      <c r="M327" s="160">
        <f>Capacity!$P$32</f>
        <v>240</v>
      </c>
      <c r="N327" s="160">
        <f>Capacity!$Q$32</f>
        <v>285</v>
      </c>
      <c r="O327" s="160">
        <f>Capacity!$R$32</f>
        <v>45</v>
      </c>
    </row>
    <row r="328" spans="1:15" x14ac:dyDescent="0.35">
      <c r="A328" s="160" t="s">
        <v>33</v>
      </c>
      <c r="B328" s="160">
        <v>4</v>
      </c>
      <c r="C328" s="160" t="s">
        <v>39</v>
      </c>
      <c r="D328" s="160" t="s">
        <v>55</v>
      </c>
      <c r="E328" s="160">
        <f>Capacity!$F$32</f>
        <v>1.5</v>
      </c>
      <c r="F328" s="160">
        <f>Capacity!$J$32</f>
        <v>1.5</v>
      </c>
      <c r="G328" s="160">
        <f>Capacity!$K$32</f>
        <v>1</v>
      </c>
      <c r="H328" s="160">
        <f>Capacity!$L$32</f>
        <v>285</v>
      </c>
      <c r="I328" s="160" t="str">
        <f>Capacity!$M$32</f>
        <v/>
      </c>
      <c r="J328" s="160" t="str">
        <f>Capacity!$N$32</f>
        <v/>
      </c>
      <c r="K328" s="160" t="str">
        <f>Capacity!$O$32</f>
        <v/>
      </c>
      <c r="L328" s="160" t="s">
        <v>2</v>
      </c>
      <c r="M328" s="160">
        <f>Capacity!$P$32</f>
        <v>240</v>
      </c>
      <c r="N328" s="160">
        <f>Capacity!$Q$32</f>
        <v>285</v>
      </c>
      <c r="O328" s="160">
        <f>Capacity!$R$32</f>
        <v>45</v>
      </c>
    </row>
    <row r="329" spans="1:15" x14ac:dyDescent="0.35">
      <c r="A329" s="160" t="s">
        <v>33</v>
      </c>
      <c r="B329" s="160">
        <v>4</v>
      </c>
      <c r="C329" s="160" t="s">
        <v>39</v>
      </c>
      <c r="D329" s="160" t="s">
        <v>10</v>
      </c>
      <c r="E329" s="160">
        <f>Capacity!$G$32</f>
        <v>1.5</v>
      </c>
      <c r="F329" s="160">
        <f>Capacity!$J$32</f>
        <v>1.5</v>
      </c>
      <c r="G329" s="160">
        <f>Capacity!$K$32</f>
        <v>1</v>
      </c>
      <c r="H329" s="160">
        <f>Capacity!$L$32</f>
        <v>285</v>
      </c>
      <c r="I329" s="160" t="str">
        <f>Capacity!$M$32</f>
        <v/>
      </c>
      <c r="J329" s="160" t="str">
        <f>Capacity!$N$32</f>
        <v/>
      </c>
      <c r="K329" s="160" t="str">
        <f>Capacity!$O$32</f>
        <v/>
      </c>
      <c r="L329" s="160" t="s">
        <v>2</v>
      </c>
      <c r="M329" s="160">
        <f>Capacity!$P$32</f>
        <v>240</v>
      </c>
      <c r="N329" s="160">
        <f>Capacity!$Q$32</f>
        <v>285</v>
      </c>
      <c r="O329" s="160">
        <f>Capacity!$R$32</f>
        <v>45</v>
      </c>
    </row>
    <row r="330" spans="1:15" x14ac:dyDescent="0.35">
      <c r="A330" s="160" t="s">
        <v>33</v>
      </c>
      <c r="B330" s="160">
        <v>4</v>
      </c>
      <c r="C330" s="160" t="s">
        <v>39</v>
      </c>
      <c r="D330" s="160" t="s">
        <v>11</v>
      </c>
      <c r="E330" s="160">
        <f>Capacity!$H$32</f>
        <v>1.5</v>
      </c>
      <c r="F330" s="160">
        <f>Capacity!$J$32</f>
        <v>1.5</v>
      </c>
      <c r="G330" s="160">
        <f>Capacity!$K$32</f>
        <v>1</v>
      </c>
      <c r="H330" s="160">
        <f>Capacity!$L$32</f>
        <v>285</v>
      </c>
      <c r="I330" s="160" t="str">
        <f>Capacity!$M$32</f>
        <v/>
      </c>
      <c r="J330" s="160" t="str">
        <f>Capacity!$N$32</f>
        <v/>
      </c>
      <c r="K330" s="160" t="str">
        <f>Capacity!$O$32</f>
        <v/>
      </c>
      <c r="L330" s="160" t="s">
        <v>2</v>
      </c>
      <c r="M330" s="160">
        <f>Capacity!$P$32</f>
        <v>240</v>
      </c>
      <c r="N330" s="160">
        <f>Capacity!$Q$32</f>
        <v>285</v>
      </c>
      <c r="O330" s="160">
        <f>Capacity!$R$32</f>
        <v>45</v>
      </c>
    </row>
    <row r="331" spans="1:15" x14ac:dyDescent="0.35">
      <c r="A331" s="165" t="s">
        <v>33</v>
      </c>
      <c r="B331" s="165">
        <v>4</v>
      </c>
      <c r="C331" s="165" t="s">
        <v>39</v>
      </c>
      <c r="D331" s="165" t="s">
        <v>12</v>
      </c>
      <c r="E331" s="165">
        <f>Capacity!$I$32</f>
        <v>1.5</v>
      </c>
      <c r="F331" s="165">
        <f>Capacity!$J$32</f>
        <v>1.5</v>
      </c>
      <c r="G331" s="165">
        <f>Capacity!$K$32</f>
        <v>1</v>
      </c>
      <c r="H331" s="165">
        <f>Capacity!$L$32</f>
        <v>285</v>
      </c>
      <c r="I331" s="165" t="str">
        <f>Capacity!$M$32</f>
        <v/>
      </c>
      <c r="J331" s="165" t="str">
        <f>Capacity!$N$32</f>
        <v/>
      </c>
      <c r="K331" s="165" t="str">
        <f>Capacity!$O$32</f>
        <v/>
      </c>
      <c r="L331" s="165" t="s">
        <v>2</v>
      </c>
      <c r="M331" s="165">
        <f>Capacity!$P$32</f>
        <v>240</v>
      </c>
      <c r="N331" s="165">
        <f>Capacity!$Q$32</f>
        <v>285</v>
      </c>
      <c r="O331" s="165">
        <f>Capacity!$R$32</f>
        <v>45</v>
      </c>
    </row>
    <row r="332" spans="1:15" x14ac:dyDescent="0.35">
      <c r="A332" s="160" t="s">
        <v>33</v>
      </c>
      <c r="B332" s="160">
        <v>4</v>
      </c>
      <c r="C332" s="160" t="s">
        <v>39</v>
      </c>
      <c r="D332" s="160" t="s">
        <v>8</v>
      </c>
      <c r="E332" s="160">
        <f>Capacity!$E$32</f>
        <v>0</v>
      </c>
      <c r="F332" s="160">
        <f>Capacity!$J$32</f>
        <v>1.5</v>
      </c>
      <c r="G332" s="160">
        <f>Capacity!$K$32</f>
        <v>1</v>
      </c>
      <c r="H332" s="160">
        <f>Capacity!$L$32</f>
        <v>285</v>
      </c>
      <c r="I332" s="160" t="str">
        <f>Capacity!$M$32</f>
        <v/>
      </c>
      <c r="J332" s="160" t="str">
        <f>Capacity!$N$32</f>
        <v/>
      </c>
      <c r="K332" s="160" t="str">
        <f>Capacity!$O$32</f>
        <v/>
      </c>
      <c r="L332" s="165" t="s">
        <v>3</v>
      </c>
      <c r="M332" s="167">
        <f>Capacity!$S$32</f>
        <v>1.263157894736842</v>
      </c>
      <c r="N332" s="167">
        <f>Capacity!$T$32</f>
        <v>3</v>
      </c>
      <c r="O332" s="167">
        <f>Capacity!$U$32</f>
        <v>1.736842105263158</v>
      </c>
    </row>
    <row r="333" spans="1:15" x14ac:dyDescent="0.35">
      <c r="A333" s="160" t="s">
        <v>33</v>
      </c>
      <c r="B333" s="160">
        <v>4</v>
      </c>
      <c r="C333" s="160" t="s">
        <v>39</v>
      </c>
      <c r="D333" s="160" t="s">
        <v>55</v>
      </c>
      <c r="E333" s="160">
        <f>Capacity!$F$32</f>
        <v>1.5</v>
      </c>
      <c r="F333" s="160">
        <f>Capacity!$J$32</f>
        <v>1.5</v>
      </c>
      <c r="G333" s="160">
        <f>Capacity!$K$32</f>
        <v>1</v>
      </c>
      <c r="H333" s="160">
        <f>Capacity!$L$32</f>
        <v>285</v>
      </c>
      <c r="I333" s="160" t="str">
        <f>Capacity!$M$32</f>
        <v/>
      </c>
      <c r="J333" s="160" t="str">
        <f>Capacity!$N$32</f>
        <v/>
      </c>
      <c r="K333" s="160" t="str">
        <f>Capacity!$O$32</f>
        <v/>
      </c>
      <c r="L333" s="165" t="s">
        <v>3</v>
      </c>
      <c r="M333" s="167">
        <f>Capacity!$S$32</f>
        <v>1.263157894736842</v>
      </c>
      <c r="N333" s="167">
        <f>Capacity!$T$32</f>
        <v>3</v>
      </c>
      <c r="O333" s="167">
        <f>Capacity!$U$32</f>
        <v>1.736842105263158</v>
      </c>
    </row>
    <row r="334" spans="1:15" x14ac:dyDescent="0.35">
      <c r="A334" s="160" t="s">
        <v>33</v>
      </c>
      <c r="B334" s="160">
        <v>4</v>
      </c>
      <c r="C334" s="160" t="s">
        <v>39</v>
      </c>
      <c r="D334" s="160" t="s">
        <v>10</v>
      </c>
      <c r="E334" s="160">
        <f>Capacity!$G$32</f>
        <v>1.5</v>
      </c>
      <c r="F334" s="160">
        <f>Capacity!$J$32</f>
        <v>1.5</v>
      </c>
      <c r="G334" s="160">
        <f>Capacity!$K$32</f>
        <v>1</v>
      </c>
      <c r="H334" s="160">
        <f>Capacity!$L$32</f>
        <v>285</v>
      </c>
      <c r="I334" s="160" t="str">
        <f>Capacity!$M$32</f>
        <v/>
      </c>
      <c r="J334" s="160" t="str">
        <f>Capacity!$N$32</f>
        <v/>
      </c>
      <c r="K334" s="160" t="str">
        <f>Capacity!$O$32</f>
        <v/>
      </c>
      <c r="L334" s="165" t="s">
        <v>3</v>
      </c>
      <c r="M334" s="167">
        <f>Capacity!$S$32</f>
        <v>1.263157894736842</v>
      </c>
      <c r="N334" s="167">
        <f>Capacity!$T$32</f>
        <v>3</v>
      </c>
      <c r="O334" s="167">
        <f>Capacity!$U$32</f>
        <v>1.736842105263158</v>
      </c>
    </row>
    <row r="335" spans="1:15" x14ac:dyDescent="0.35">
      <c r="A335" s="160" t="s">
        <v>33</v>
      </c>
      <c r="B335" s="160">
        <v>4</v>
      </c>
      <c r="C335" s="160" t="s">
        <v>39</v>
      </c>
      <c r="D335" s="160" t="s">
        <v>11</v>
      </c>
      <c r="E335" s="160">
        <f>Capacity!$H$32</f>
        <v>1.5</v>
      </c>
      <c r="F335" s="160">
        <f>Capacity!$J$32</f>
        <v>1.5</v>
      </c>
      <c r="G335" s="160">
        <f>Capacity!$K$32</f>
        <v>1</v>
      </c>
      <c r="H335" s="160">
        <f>Capacity!$L$32</f>
        <v>285</v>
      </c>
      <c r="I335" s="160" t="str">
        <f>Capacity!$M$32</f>
        <v/>
      </c>
      <c r="J335" s="160" t="str">
        <f>Capacity!$N$32</f>
        <v/>
      </c>
      <c r="K335" s="160" t="str">
        <f>Capacity!$O$32</f>
        <v/>
      </c>
      <c r="L335" s="165" t="s">
        <v>3</v>
      </c>
      <c r="M335" s="167">
        <f>Capacity!$S$32</f>
        <v>1.263157894736842</v>
      </c>
      <c r="N335" s="167">
        <f>Capacity!$T$32</f>
        <v>3</v>
      </c>
      <c r="O335" s="167">
        <f>Capacity!$U$32</f>
        <v>1.736842105263158</v>
      </c>
    </row>
    <row r="336" spans="1:15" x14ac:dyDescent="0.35">
      <c r="A336" s="165" t="s">
        <v>33</v>
      </c>
      <c r="B336" s="165">
        <v>4</v>
      </c>
      <c r="C336" s="165" t="s">
        <v>39</v>
      </c>
      <c r="D336" s="165" t="s">
        <v>12</v>
      </c>
      <c r="E336" s="165">
        <f>Capacity!$I$32</f>
        <v>1.5</v>
      </c>
      <c r="F336" s="165">
        <f>Capacity!$J$32</f>
        <v>1.5</v>
      </c>
      <c r="G336" s="165">
        <f>Capacity!$K$32</f>
        <v>1</v>
      </c>
      <c r="H336" s="165">
        <f>Capacity!$L$32</f>
        <v>285</v>
      </c>
      <c r="I336" s="165" t="str">
        <f>Capacity!$M$32</f>
        <v/>
      </c>
      <c r="J336" s="165" t="str">
        <f>Capacity!$N$32</f>
        <v/>
      </c>
      <c r="K336" s="165" t="str">
        <f>Capacity!$O$32</f>
        <v/>
      </c>
      <c r="L336" s="165" t="s">
        <v>3</v>
      </c>
      <c r="M336" s="167">
        <f>Capacity!$S$32</f>
        <v>1.263157894736842</v>
      </c>
      <c r="N336" s="167">
        <f>Capacity!$T$32</f>
        <v>3</v>
      </c>
      <c r="O336" s="167">
        <f>Capacity!$U$32</f>
        <v>1.736842105263158</v>
      </c>
    </row>
    <row r="337" spans="1:15" x14ac:dyDescent="0.35">
      <c r="A337" s="160" t="s">
        <v>33</v>
      </c>
      <c r="B337" s="160">
        <v>4</v>
      </c>
      <c r="C337" s="160" t="s">
        <v>39</v>
      </c>
      <c r="D337" s="160" t="s">
        <v>8</v>
      </c>
      <c r="E337" s="160">
        <f>Capacity!$E$32</f>
        <v>0</v>
      </c>
      <c r="F337" s="160">
        <f>Capacity!$J$32</f>
        <v>1.5</v>
      </c>
      <c r="G337" s="160">
        <f>Capacity!$K$32</f>
        <v>1</v>
      </c>
      <c r="H337" s="160">
        <f>Capacity!$L$32</f>
        <v>285</v>
      </c>
      <c r="I337" s="160" t="str">
        <f>Capacity!$M$32</f>
        <v/>
      </c>
      <c r="J337" s="160" t="str">
        <f>Capacity!$N$32</f>
        <v/>
      </c>
      <c r="K337" s="160" t="str">
        <f>Capacity!$O$32</f>
        <v/>
      </c>
      <c r="L337" s="160" t="s">
        <v>4</v>
      </c>
      <c r="M337" s="169">
        <f>Capacity!$V$32</f>
        <v>1.263157894736842</v>
      </c>
      <c r="N337" s="169">
        <f>Capacity!$W$32</f>
        <v>1.5</v>
      </c>
      <c r="O337" s="169">
        <f>Capacity!$X$32</f>
        <v>0.23684210526315796</v>
      </c>
    </row>
    <row r="338" spans="1:15" x14ac:dyDescent="0.35">
      <c r="A338" s="160" t="s">
        <v>33</v>
      </c>
      <c r="B338" s="160">
        <v>4</v>
      </c>
      <c r="C338" s="160" t="s">
        <v>39</v>
      </c>
      <c r="D338" s="160" t="s">
        <v>55</v>
      </c>
      <c r="E338" s="160">
        <f>Capacity!$F$32</f>
        <v>1.5</v>
      </c>
      <c r="F338" s="160">
        <f>Capacity!$J$32</f>
        <v>1.5</v>
      </c>
      <c r="G338" s="160">
        <f>Capacity!$K$32</f>
        <v>1</v>
      </c>
      <c r="H338" s="160">
        <f>Capacity!$L$32</f>
        <v>285</v>
      </c>
      <c r="I338" s="160" t="str">
        <f>Capacity!$M$32</f>
        <v/>
      </c>
      <c r="J338" s="160" t="str">
        <f>Capacity!$N$32</f>
        <v/>
      </c>
      <c r="K338" s="160" t="str">
        <f>Capacity!$O$32</f>
        <v/>
      </c>
      <c r="L338" s="160" t="s">
        <v>4</v>
      </c>
      <c r="M338" s="169">
        <f>Capacity!$V$32</f>
        <v>1.263157894736842</v>
      </c>
      <c r="N338" s="169">
        <f>Capacity!$W$32</f>
        <v>1.5</v>
      </c>
      <c r="O338" s="169">
        <f>Capacity!$X$32</f>
        <v>0.23684210526315796</v>
      </c>
    </row>
    <row r="339" spans="1:15" x14ac:dyDescent="0.35">
      <c r="A339" s="160" t="s">
        <v>33</v>
      </c>
      <c r="B339" s="160">
        <v>4</v>
      </c>
      <c r="C339" s="160" t="s">
        <v>39</v>
      </c>
      <c r="D339" s="160" t="s">
        <v>10</v>
      </c>
      <c r="E339" s="160">
        <f>Capacity!$G$32</f>
        <v>1.5</v>
      </c>
      <c r="F339" s="160">
        <f>Capacity!$J$32</f>
        <v>1.5</v>
      </c>
      <c r="G339" s="160">
        <f>Capacity!$K$32</f>
        <v>1</v>
      </c>
      <c r="H339" s="160">
        <f>Capacity!$L$32</f>
        <v>285</v>
      </c>
      <c r="I339" s="160" t="str">
        <f>Capacity!$M$32</f>
        <v/>
      </c>
      <c r="J339" s="160" t="str">
        <f>Capacity!$N$32</f>
        <v/>
      </c>
      <c r="K339" s="160" t="str">
        <f>Capacity!$O$32</f>
        <v/>
      </c>
      <c r="L339" s="160" t="s">
        <v>4</v>
      </c>
      <c r="M339" s="169">
        <f>Capacity!$V$32</f>
        <v>1.263157894736842</v>
      </c>
      <c r="N339" s="169">
        <f>Capacity!$W$32</f>
        <v>1.5</v>
      </c>
      <c r="O339" s="169">
        <f>Capacity!$X$32</f>
        <v>0.23684210526315796</v>
      </c>
    </row>
    <row r="340" spans="1:15" x14ac:dyDescent="0.35">
      <c r="A340" s="160" t="s">
        <v>33</v>
      </c>
      <c r="B340" s="160">
        <v>4</v>
      </c>
      <c r="C340" s="160" t="s">
        <v>39</v>
      </c>
      <c r="D340" s="160" t="s">
        <v>11</v>
      </c>
      <c r="E340" s="160">
        <f>Capacity!$H$32</f>
        <v>1.5</v>
      </c>
      <c r="F340" s="160">
        <f>Capacity!$J$32</f>
        <v>1.5</v>
      </c>
      <c r="G340" s="160">
        <f>Capacity!$K$32</f>
        <v>1</v>
      </c>
      <c r="H340" s="160">
        <f>Capacity!$L$32</f>
        <v>285</v>
      </c>
      <c r="I340" s="160" t="str">
        <f>Capacity!$M$32</f>
        <v/>
      </c>
      <c r="J340" s="160" t="str">
        <f>Capacity!$N$32</f>
        <v/>
      </c>
      <c r="K340" s="160" t="str">
        <f>Capacity!$O$32</f>
        <v/>
      </c>
      <c r="L340" s="160" t="s">
        <v>4</v>
      </c>
      <c r="M340" s="169">
        <f>Capacity!$V$32</f>
        <v>1.263157894736842</v>
      </c>
      <c r="N340" s="169">
        <f>Capacity!$W$32</f>
        <v>1.5</v>
      </c>
      <c r="O340" s="169">
        <f>Capacity!$X$32</f>
        <v>0.23684210526315796</v>
      </c>
    </row>
    <row r="341" spans="1:15" x14ac:dyDescent="0.35">
      <c r="A341" s="165" t="s">
        <v>33</v>
      </c>
      <c r="B341" s="165">
        <v>4</v>
      </c>
      <c r="C341" s="165" t="s">
        <v>39</v>
      </c>
      <c r="D341" s="165" t="s">
        <v>12</v>
      </c>
      <c r="E341" s="165">
        <f>Capacity!$I$32</f>
        <v>1.5</v>
      </c>
      <c r="F341" s="165">
        <f>Capacity!$J$32</f>
        <v>1.5</v>
      </c>
      <c r="G341" s="165">
        <f>Capacity!$K$32</f>
        <v>1</v>
      </c>
      <c r="H341" s="165">
        <f>Capacity!$L$32</f>
        <v>285</v>
      </c>
      <c r="I341" s="165" t="str">
        <f>Capacity!$M$32</f>
        <v/>
      </c>
      <c r="J341" s="165" t="str">
        <f>Capacity!$N$32</f>
        <v/>
      </c>
      <c r="K341" s="165" t="str">
        <f>Capacity!$O$32</f>
        <v/>
      </c>
      <c r="L341" s="160" t="s">
        <v>4</v>
      </c>
      <c r="M341" s="169">
        <f>Capacity!$V$32</f>
        <v>1.263157894736842</v>
      </c>
      <c r="N341" s="169">
        <f>Capacity!$W$32</f>
        <v>1.5</v>
      </c>
      <c r="O341" s="169">
        <f>Capacity!$X$32</f>
        <v>0.23684210526315796</v>
      </c>
    </row>
    <row r="342" spans="1:15" x14ac:dyDescent="0.35">
      <c r="A342" s="160" t="s">
        <v>33</v>
      </c>
      <c r="B342" s="160">
        <v>4</v>
      </c>
      <c r="C342" s="160" t="s">
        <v>39</v>
      </c>
      <c r="D342" s="160" t="s">
        <v>8</v>
      </c>
      <c r="E342" s="160">
        <f>Capacity!$E$32</f>
        <v>0</v>
      </c>
      <c r="F342" s="160">
        <f>Capacity!$J$32</f>
        <v>1.5</v>
      </c>
      <c r="G342" s="160">
        <f>Capacity!$K$32</f>
        <v>1</v>
      </c>
      <c r="H342" s="160">
        <f>Capacity!$L$32</f>
        <v>285</v>
      </c>
      <c r="I342" s="160" t="str">
        <f>Capacity!$M$32</f>
        <v/>
      </c>
      <c r="J342" s="160" t="str">
        <f>Capacity!$N$32</f>
        <v/>
      </c>
      <c r="K342" s="160" t="str">
        <f>Capacity!$O$32</f>
        <v/>
      </c>
      <c r="L342" s="165" t="s">
        <v>56</v>
      </c>
      <c r="M342" s="167">
        <f>Capacity!$Y$32</f>
        <v>20.425531914893618</v>
      </c>
      <c r="N342" s="167">
        <f>Capacity!$Z$32</f>
        <v>24.25531914893617</v>
      </c>
      <c r="O342" s="167">
        <f>Capacity!$AA$32</f>
        <v>3.8297872340425521</v>
      </c>
    </row>
    <row r="343" spans="1:15" x14ac:dyDescent="0.35">
      <c r="A343" s="160" t="s">
        <v>33</v>
      </c>
      <c r="B343" s="160">
        <v>4</v>
      </c>
      <c r="C343" s="160" t="s">
        <v>39</v>
      </c>
      <c r="D343" s="160" t="s">
        <v>55</v>
      </c>
      <c r="E343" s="160">
        <f>Capacity!$F$32</f>
        <v>1.5</v>
      </c>
      <c r="F343" s="160">
        <f>Capacity!$J$32</f>
        <v>1.5</v>
      </c>
      <c r="G343" s="160">
        <f>Capacity!$K$32</f>
        <v>1</v>
      </c>
      <c r="H343" s="160">
        <f>Capacity!$L$32</f>
        <v>285</v>
      </c>
      <c r="I343" s="160" t="str">
        <f>Capacity!$M$32</f>
        <v/>
      </c>
      <c r="J343" s="160" t="str">
        <f>Capacity!$N$32</f>
        <v/>
      </c>
      <c r="K343" s="160" t="str">
        <f>Capacity!$O$32</f>
        <v/>
      </c>
      <c r="L343" s="165" t="s">
        <v>56</v>
      </c>
      <c r="M343" s="167">
        <f>Capacity!$Y$32</f>
        <v>20.425531914893618</v>
      </c>
      <c r="N343" s="167">
        <f>Capacity!$Z$32</f>
        <v>24.25531914893617</v>
      </c>
      <c r="O343" s="167">
        <f>Capacity!$AA$32</f>
        <v>3.8297872340425521</v>
      </c>
    </row>
    <row r="344" spans="1:15" x14ac:dyDescent="0.35">
      <c r="A344" s="160" t="s">
        <v>33</v>
      </c>
      <c r="B344" s="160">
        <v>4</v>
      </c>
      <c r="C344" s="160" t="s">
        <v>39</v>
      </c>
      <c r="D344" s="160" t="s">
        <v>10</v>
      </c>
      <c r="E344" s="160">
        <f>Capacity!$G$32</f>
        <v>1.5</v>
      </c>
      <c r="F344" s="160">
        <f>Capacity!$J$32</f>
        <v>1.5</v>
      </c>
      <c r="G344" s="160">
        <f>Capacity!$K$32</f>
        <v>1</v>
      </c>
      <c r="H344" s="160">
        <f>Capacity!$L$32</f>
        <v>285</v>
      </c>
      <c r="I344" s="160" t="str">
        <f>Capacity!$M$32</f>
        <v/>
      </c>
      <c r="J344" s="160" t="str">
        <f>Capacity!$N$32</f>
        <v/>
      </c>
      <c r="K344" s="160" t="str">
        <f>Capacity!$O$32</f>
        <v/>
      </c>
      <c r="L344" s="165" t="s">
        <v>56</v>
      </c>
      <c r="M344" s="167">
        <f>Capacity!$Y$32</f>
        <v>20.425531914893618</v>
      </c>
      <c r="N344" s="167">
        <f>Capacity!$Z$32</f>
        <v>24.25531914893617</v>
      </c>
      <c r="O344" s="167">
        <f>Capacity!$AA$32</f>
        <v>3.8297872340425521</v>
      </c>
    </row>
    <row r="345" spans="1:15" x14ac:dyDescent="0.35">
      <c r="A345" s="160" t="s">
        <v>33</v>
      </c>
      <c r="B345" s="160">
        <v>4</v>
      </c>
      <c r="C345" s="160" t="s">
        <v>39</v>
      </c>
      <c r="D345" s="160" t="s">
        <v>11</v>
      </c>
      <c r="E345" s="160">
        <f>Capacity!$H$32</f>
        <v>1.5</v>
      </c>
      <c r="F345" s="160">
        <f>Capacity!$J$32</f>
        <v>1.5</v>
      </c>
      <c r="G345" s="160">
        <f>Capacity!$K$32</f>
        <v>1</v>
      </c>
      <c r="H345" s="160">
        <f>Capacity!$L$32</f>
        <v>285</v>
      </c>
      <c r="I345" s="160" t="str">
        <f>Capacity!$M$32</f>
        <v/>
      </c>
      <c r="J345" s="160" t="str">
        <f>Capacity!$N$32</f>
        <v/>
      </c>
      <c r="K345" s="160" t="str">
        <f>Capacity!$O$32</f>
        <v/>
      </c>
      <c r="L345" s="165" t="s">
        <v>56</v>
      </c>
      <c r="M345" s="167">
        <f>Capacity!$Y$32</f>
        <v>20.425531914893618</v>
      </c>
      <c r="N345" s="167">
        <f>Capacity!$Z$32</f>
        <v>24.25531914893617</v>
      </c>
      <c r="O345" s="167">
        <f>Capacity!$AA$32</f>
        <v>3.8297872340425521</v>
      </c>
    </row>
    <row r="346" spans="1:15" x14ac:dyDescent="0.35">
      <c r="A346" s="165" t="s">
        <v>33</v>
      </c>
      <c r="B346" s="165">
        <v>4</v>
      </c>
      <c r="C346" s="165" t="s">
        <v>39</v>
      </c>
      <c r="D346" s="165" t="s">
        <v>12</v>
      </c>
      <c r="E346" s="165">
        <f>Capacity!$I$32</f>
        <v>1.5</v>
      </c>
      <c r="F346" s="165">
        <f>Capacity!$J$32</f>
        <v>1.5</v>
      </c>
      <c r="G346" s="165">
        <f>Capacity!$K$32</f>
        <v>1</v>
      </c>
      <c r="H346" s="165">
        <f>Capacity!$L$32</f>
        <v>285</v>
      </c>
      <c r="I346" s="165" t="str">
        <f>Capacity!$M$32</f>
        <v/>
      </c>
      <c r="J346" s="165" t="str">
        <f>Capacity!$N$32</f>
        <v/>
      </c>
      <c r="K346" s="165" t="str">
        <f>Capacity!$O$32</f>
        <v/>
      </c>
      <c r="L346" s="165" t="s">
        <v>56</v>
      </c>
      <c r="M346" s="167">
        <f>Capacity!$Y$32</f>
        <v>20.425531914893618</v>
      </c>
      <c r="N346" s="167">
        <f>Capacity!$Z$32</f>
        <v>24.25531914893617</v>
      </c>
      <c r="O346" s="167">
        <f>Capacity!$AA$32</f>
        <v>3.8297872340425521</v>
      </c>
    </row>
    <row r="347" spans="1:15" x14ac:dyDescent="0.35">
      <c r="A347" s="160" t="s">
        <v>29</v>
      </c>
      <c r="B347" s="160">
        <v>1</v>
      </c>
      <c r="C347" s="160" t="s">
        <v>43</v>
      </c>
      <c r="D347" s="160" t="s">
        <v>8</v>
      </c>
      <c r="E347" s="160">
        <f>Capacity!$E$45</f>
        <v>0</v>
      </c>
      <c r="F347" s="160">
        <f>Capacity!$J$45</f>
        <v>0</v>
      </c>
      <c r="G347" s="160">
        <f>Capacity!$K$45</f>
        <v>3</v>
      </c>
      <c r="H347" s="160" t="str">
        <f>Capacity!$L$45</f>
        <v/>
      </c>
      <c r="I347" s="160" t="str">
        <f>Capacity!$M$45</f>
        <v/>
      </c>
      <c r="J347" s="160">
        <f>Capacity!$N$45</f>
        <v>0</v>
      </c>
      <c r="K347" s="160" t="str">
        <f>Capacity!$O$45</f>
        <v/>
      </c>
      <c r="L347" s="160" t="s">
        <v>2</v>
      </c>
      <c r="M347" s="160">
        <f>Capacity!$P$45</f>
        <v>0</v>
      </c>
      <c r="N347" s="160">
        <f>Capacity!$Q$45</f>
        <v>0</v>
      </c>
      <c r="O347" s="160">
        <f>Capacity!$R$45</f>
        <v>0</v>
      </c>
    </row>
    <row r="348" spans="1:15" x14ac:dyDescent="0.35">
      <c r="A348" s="160" t="s">
        <v>29</v>
      </c>
      <c r="B348" s="160">
        <v>1</v>
      </c>
      <c r="C348" s="160" t="s">
        <v>43</v>
      </c>
      <c r="D348" s="160" t="s">
        <v>55</v>
      </c>
      <c r="E348" s="160">
        <f>Capacity!$F$45</f>
        <v>0</v>
      </c>
      <c r="F348" s="160">
        <f>Capacity!$J$45</f>
        <v>0</v>
      </c>
      <c r="G348" s="160">
        <f>Capacity!$K$45</f>
        <v>3</v>
      </c>
      <c r="H348" s="160" t="str">
        <f>Capacity!$L$45</f>
        <v/>
      </c>
      <c r="I348" s="160" t="str">
        <f>Capacity!$M$45</f>
        <v/>
      </c>
      <c r="J348" s="160">
        <f>Capacity!$N$45</f>
        <v>0</v>
      </c>
      <c r="K348" s="160" t="str">
        <f>Capacity!$O$45</f>
        <v/>
      </c>
      <c r="L348" s="160" t="s">
        <v>2</v>
      </c>
      <c r="M348" s="160">
        <f>Capacity!$P$45</f>
        <v>0</v>
      </c>
      <c r="N348" s="160">
        <f>Capacity!$Q$45</f>
        <v>0</v>
      </c>
      <c r="O348" s="160">
        <f>Capacity!$R$45</f>
        <v>0</v>
      </c>
    </row>
    <row r="349" spans="1:15" x14ac:dyDescent="0.35">
      <c r="A349" s="160" t="s">
        <v>29</v>
      </c>
      <c r="B349" s="160">
        <v>1</v>
      </c>
      <c r="C349" s="160" t="s">
        <v>43</v>
      </c>
      <c r="D349" s="160" t="s">
        <v>10</v>
      </c>
      <c r="E349" s="160">
        <f>Capacity!$G$45</f>
        <v>0</v>
      </c>
      <c r="F349" s="160">
        <f>Capacity!$J$45</f>
        <v>0</v>
      </c>
      <c r="G349" s="160">
        <f>Capacity!$K$45</f>
        <v>3</v>
      </c>
      <c r="H349" s="160" t="str">
        <f>Capacity!$L$45</f>
        <v/>
      </c>
      <c r="I349" s="160" t="str">
        <f>Capacity!$M$45</f>
        <v/>
      </c>
      <c r="J349" s="160">
        <f>Capacity!$N$45</f>
        <v>0</v>
      </c>
      <c r="K349" s="160" t="str">
        <f>Capacity!$O$45</f>
        <v/>
      </c>
      <c r="L349" s="160" t="s">
        <v>2</v>
      </c>
      <c r="M349" s="160">
        <f>Capacity!$P$45</f>
        <v>0</v>
      </c>
      <c r="N349" s="160">
        <f>Capacity!$Q$45</f>
        <v>0</v>
      </c>
      <c r="O349" s="160">
        <f>Capacity!$R$45</f>
        <v>0</v>
      </c>
    </row>
    <row r="350" spans="1:15" x14ac:dyDescent="0.35">
      <c r="A350" s="160" t="s">
        <v>29</v>
      </c>
      <c r="B350" s="160">
        <v>1</v>
      </c>
      <c r="C350" s="160" t="s">
        <v>43</v>
      </c>
      <c r="D350" s="160" t="s">
        <v>11</v>
      </c>
      <c r="E350" s="160">
        <f>Capacity!$H$45</f>
        <v>0</v>
      </c>
      <c r="F350" s="160">
        <f>Capacity!$J$45</f>
        <v>0</v>
      </c>
      <c r="G350" s="160">
        <f>Capacity!$K$45</f>
        <v>3</v>
      </c>
      <c r="H350" s="160" t="str">
        <f>Capacity!$L$45</f>
        <v/>
      </c>
      <c r="I350" s="160" t="str">
        <f>Capacity!$M$45</f>
        <v/>
      </c>
      <c r="J350" s="160">
        <f>Capacity!$N$45</f>
        <v>0</v>
      </c>
      <c r="K350" s="160" t="str">
        <f>Capacity!$O$45</f>
        <v/>
      </c>
      <c r="L350" s="160" t="s">
        <v>2</v>
      </c>
      <c r="M350" s="160">
        <f>Capacity!$P$45</f>
        <v>0</v>
      </c>
      <c r="N350" s="160">
        <f>Capacity!$Q$45</f>
        <v>0</v>
      </c>
      <c r="O350" s="160">
        <f>Capacity!$R$45</f>
        <v>0</v>
      </c>
    </row>
    <row r="351" spans="1:15" x14ac:dyDescent="0.35">
      <c r="A351" s="160" t="s">
        <v>29</v>
      </c>
      <c r="B351" s="160">
        <v>1</v>
      </c>
      <c r="C351" s="160" t="s">
        <v>43</v>
      </c>
      <c r="D351" s="160" t="s">
        <v>12</v>
      </c>
      <c r="E351" s="160">
        <f>Capacity!I45</f>
        <v>0</v>
      </c>
      <c r="F351" s="160">
        <f>Capacity!$J$45</f>
        <v>0</v>
      </c>
      <c r="G351" s="160">
        <f>Capacity!$K$45</f>
        <v>3</v>
      </c>
      <c r="H351" s="160" t="str">
        <f>Capacity!$L$45</f>
        <v/>
      </c>
      <c r="I351" s="160" t="str">
        <f>Capacity!$M$45</f>
        <v/>
      </c>
      <c r="J351" s="160">
        <f>Capacity!$N$45</f>
        <v>0</v>
      </c>
      <c r="K351" s="160" t="str">
        <f>Capacity!$O$45</f>
        <v/>
      </c>
      <c r="L351" s="165" t="s">
        <v>2</v>
      </c>
      <c r="M351" s="165">
        <f>Capacity!$P$45</f>
        <v>0</v>
      </c>
      <c r="N351" s="165">
        <f>Capacity!$Q$45</f>
        <v>0</v>
      </c>
      <c r="O351" s="165">
        <f>Capacity!$R$45</f>
        <v>0</v>
      </c>
    </row>
    <row r="352" spans="1:15" x14ac:dyDescent="0.35">
      <c r="A352" s="160" t="s">
        <v>29</v>
      </c>
      <c r="B352" s="160">
        <v>1</v>
      </c>
      <c r="C352" s="160" t="s">
        <v>43</v>
      </c>
      <c r="D352" s="160" t="s">
        <v>8</v>
      </c>
      <c r="E352" s="160">
        <f>Capacity!$E$45</f>
        <v>0</v>
      </c>
      <c r="F352" s="160">
        <f>Capacity!$J$45</f>
        <v>0</v>
      </c>
      <c r="G352" s="160">
        <f>Capacity!$K$45</f>
        <v>3</v>
      </c>
      <c r="H352" s="160" t="str">
        <f>Capacity!$L$45</f>
        <v/>
      </c>
      <c r="I352" s="160" t="str">
        <f>Capacity!$M$45</f>
        <v/>
      </c>
      <c r="J352" s="160">
        <f>Capacity!$N$45</f>
        <v>0</v>
      </c>
      <c r="K352" s="161" t="str">
        <f>Capacity!$O$45</f>
        <v/>
      </c>
      <c r="L352" s="160" t="s">
        <v>3</v>
      </c>
      <c r="M352" s="160">
        <f>Capacity!$S$45</f>
        <v>0</v>
      </c>
      <c r="N352" s="160">
        <f>Capacity!$T$45</f>
        <v>0</v>
      </c>
      <c r="O352" s="160">
        <f>Capacity!$U$45</f>
        <v>0</v>
      </c>
    </row>
    <row r="353" spans="1:15" x14ac:dyDescent="0.35">
      <c r="A353" s="160" t="s">
        <v>29</v>
      </c>
      <c r="B353" s="160">
        <v>1</v>
      </c>
      <c r="C353" s="160" t="s">
        <v>43</v>
      </c>
      <c r="D353" s="160" t="s">
        <v>55</v>
      </c>
      <c r="E353" s="160">
        <f>Capacity!$F$45</f>
        <v>0</v>
      </c>
      <c r="F353" s="160">
        <f>Capacity!$J$45</f>
        <v>0</v>
      </c>
      <c r="G353" s="160">
        <f>Capacity!$K$45</f>
        <v>3</v>
      </c>
      <c r="H353" s="160" t="str">
        <f>Capacity!$L$45</f>
        <v/>
      </c>
      <c r="I353" s="160" t="str">
        <f>Capacity!$M$45</f>
        <v/>
      </c>
      <c r="J353" s="160">
        <f>Capacity!$N$45</f>
        <v>0</v>
      </c>
      <c r="K353" s="161" t="str">
        <f>Capacity!$O$45</f>
        <v/>
      </c>
      <c r="L353" s="160" t="s">
        <v>3</v>
      </c>
      <c r="M353" s="160">
        <f>Capacity!$S$45</f>
        <v>0</v>
      </c>
      <c r="N353" s="160">
        <f>Capacity!$T$45</f>
        <v>0</v>
      </c>
      <c r="O353" s="160">
        <f>Capacity!$U$45</f>
        <v>0</v>
      </c>
    </row>
    <row r="354" spans="1:15" x14ac:dyDescent="0.35">
      <c r="A354" s="160" t="s">
        <v>29</v>
      </c>
      <c r="B354" s="160">
        <v>1</v>
      </c>
      <c r="C354" s="160" t="s">
        <v>43</v>
      </c>
      <c r="D354" s="160" t="s">
        <v>10</v>
      </c>
      <c r="E354" s="160">
        <f>Capacity!$G$45</f>
        <v>0</v>
      </c>
      <c r="F354" s="160">
        <f>Capacity!$J$45</f>
        <v>0</v>
      </c>
      <c r="G354" s="160">
        <f>Capacity!$K$45</f>
        <v>3</v>
      </c>
      <c r="H354" s="160" t="str">
        <f>Capacity!$L$45</f>
        <v/>
      </c>
      <c r="I354" s="160" t="str">
        <f>Capacity!$M$45</f>
        <v/>
      </c>
      <c r="J354" s="160">
        <f>Capacity!$N$45</f>
        <v>0</v>
      </c>
      <c r="K354" s="161" t="str">
        <f>Capacity!$O$45</f>
        <v/>
      </c>
      <c r="L354" s="160" t="s">
        <v>3</v>
      </c>
      <c r="M354" s="160">
        <f>Capacity!$S$45</f>
        <v>0</v>
      </c>
      <c r="N354" s="160">
        <f>Capacity!$T$45</f>
        <v>0</v>
      </c>
      <c r="O354" s="160">
        <f>Capacity!$U$45</f>
        <v>0</v>
      </c>
    </row>
    <row r="355" spans="1:15" x14ac:dyDescent="0.35">
      <c r="A355" s="160" t="s">
        <v>29</v>
      </c>
      <c r="B355" s="160">
        <v>1</v>
      </c>
      <c r="C355" s="160" t="s">
        <v>43</v>
      </c>
      <c r="D355" s="160" t="s">
        <v>11</v>
      </c>
      <c r="E355" s="160">
        <f>Capacity!$H$45</f>
        <v>0</v>
      </c>
      <c r="F355" s="160">
        <f>Capacity!$J$45</f>
        <v>0</v>
      </c>
      <c r="G355" s="160">
        <f>Capacity!$K$45</f>
        <v>3</v>
      </c>
      <c r="H355" s="160" t="str">
        <f>Capacity!$L$45</f>
        <v/>
      </c>
      <c r="I355" s="160" t="str">
        <f>Capacity!$M$45</f>
        <v/>
      </c>
      <c r="J355" s="160">
        <f>Capacity!$N$45</f>
        <v>0</v>
      </c>
      <c r="K355" s="161" t="str">
        <f>Capacity!$O$45</f>
        <v/>
      </c>
      <c r="L355" s="160" t="s">
        <v>3</v>
      </c>
      <c r="M355" s="160">
        <f>Capacity!$S$45</f>
        <v>0</v>
      </c>
      <c r="N355" s="160">
        <f>Capacity!$T$45</f>
        <v>0</v>
      </c>
      <c r="O355" s="160">
        <f>Capacity!$U$45</f>
        <v>0</v>
      </c>
    </row>
    <row r="356" spans="1:15" x14ac:dyDescent="0.35">
      <c r="A356" s="160" t="s">
        <v>29</v>
      </c>
      <c r="B356" s="160">
        <v>1</v>
      </c>
      <c r="C356" s="160" t="s">
        <v>43</v>
      </c>
      <c r="D356" s="160" t="s">
        <v>12</v>
      </c>
      <c r="E356" s="160">
        <f>Capacity!I50</f>
        <v>0</v>
      </c>
      <c r="F356" s="160">
        <f>Capacity!$J$45</f>
        <v>0</v>
      </c>
      <c r="G356" s="160">
        <f>Capacity!$K$45</f>
        <v>3</v>
      </c>
      <c r="H356" s="160" t="str">
        <f>Capacity!$L$45</f>
        <v/>
      </c>
      <c r="I356" s="160" t="str">
        <f>Capacity!$M$45</f>
        <v/>
      </c>
      <c r="J356" s="160">
        <f>Capacity!$N$45</f>
        <v>0</v>
      </c>
      <c r="K356" s="161" t="str">
        <f>Capacity!$O$45</f>
        <v/>
      </c>
      <c r="L356" s="160" t="s">
        <v>3</v>
      </c>
      <c r="M356" s="165">
        <f>Capacity!$S$45</f>
        <v>0</v>
      </c>
      <c r="N356" s="165">
        <f>Capacity!$T$45</f>
        <v>0</v>
      </c>
      <c r="O356" s="165">
        <f>Capacity!$U$45</f>
        <v>0</v>
      </c>
    </row>
    <row r="357" spans="1:15" x14ac:dyDescent="0.35">
      <c r="A357" s="160" t="s">
        <v>29</v>
      </c>
      <c r="B357" s="160">
        <v>1</v>
      </c>
      <c r="C357" s="160" t="s">
        <v>43</v>
      </c>
      <c r="D357" s="160" t="s">
        <v>8</v>
      </c>
      <c r="E357" s="160">
        <f>Capacity!$E$45</f>
        <v>0</v>
      </c>
      <c r="F357" s="160">
        <f>Capacity!$J$45</f>
        <v>0</v>
      </c>
      <c r="G357" s="160">
        <f>Capacity!$K$45</f>
        <v>3</v>
      </c>
      <c r="H357" s="160" t="str">
        <f>Capacity!$L$45</f>
        <v/>
      </c>
      <c r="I357" s="160" t="str">
        <f>Capacity!$M$45</f>
        <v/>
      </c>
      <c r="J357" s="160">
        <f>Capacity!$N$45</f>
        <v>0</v>
      </c>
      <c r="K357" s="161" t="str">
        <f>Capacity!$O$45</f>
        <v/>
      </c>
      <c r="L357" s="161" t="s">
        <v>4</v>
      </c>
      <c r="M357" s="160">
        <f>Capacity!$V$45</f>
        <v>0</v>
      </c>
      <c r="N357" s="160">
        <f>Capacity!$W$45</f>
        <v>0</v>
      </c>
      <c r="O357" s="160">
        <f>Capacity!$X$45</f>
        <v>0</v>
      </c>
    </row>
    <row r="358" spans="1:15" x14ac:dyDescent="0.35">
      <c r="A358" s="160" t="s">
        <v>29</v>
      </c>
      <c r="B358" s="160">
        <v>1</v>
      </c>
      <c r="C358" s="160" t="s">
        <v>43</v>
      </c>
      <c r="D358" s="160" t="s">
        <v>55</v>
      </c>
      <c r="E358" s="160">
        <f>Capacity!$F$45</f>
        <v>0</v>
      </c>
      <c r="F358" s="160">
        <f>Capacity!$J$45</f>
        <v>0</v>
      </c>
      <c r="G358" s="160">
        <f>Capacity!$K$45</f>
        <v>3</v>
      </c>
      <c r="H358" s="160" t="str">
        <f>Capacity!$L$45</f>
        <v/>
      </c>
      <c r="I358" s="160" t="str">
        <f>Capacity!$M$45</f>
        <v/>
      </c>
      <c r="J358" s="160">
        <f>Capacity!$N$45</f>
        <v>0</v>
      </c>
      <c r="K358" s="161" t="str">
        <f>Capacity!$O$45</f>
        <v/>
      </c>
      <c r="L358" s="161" t="s">
        <v>4</v>
      </c>
      <c r="M358" s="160">
        <f>Capacity!$V$45</f>
        <v>0</v>
      </c>
      <c r="N358" s="160">
        <f>Capacity!$W$45</f>
        <v>0</v>
      </c>
      <c r="O358" s="160">
        <f>Capacity!$X$45</f>
        <v>0</v>
      </c>
    </row>
    <row r="359" spans="1:15" x14ac:dyDescent="0.35">
      <c r="A359" s="160" t="s">
        <v>29</v>
      </c>
      <c r="B359" s="160">
        <v>1</v>
      </c>
      <c r="C359" s="160" t="s">
        <v>43</v>
      </c>
      <c r="D359" s="160" t="s">
        <v>10</v>
      </c>
      <c r="E359" s="160">
        <f>Capacity!$G$45</f>
        <v>0</v>
      </c>
      <c r="F359" s="160">
        <f>Capacity!$J$45</f>
        <v>0</v>
      </c>
      <c r="G359" s="160">
        <f>Capacity!$K$45</f>
        <v>3</v>
      </c>
      <c r="H359" s="160" t="str">
        <f>Capacity!$L$45</f>
        <v/>
      </c>
      <c r="I359" s="160" t="str">
        <f>Capacity!$M$45</f>
        <v/>
      </c>
      <c r="J359" s="160">
        <f>Capacity!$N$45</f>
        <v>0</v>
      </c>
      <c r="K359" s="161" t="str">
        <f>Capacity!$O$45</f>
        <v/>
      </c>
      <c r="L359" s="161" t="s">
        <v>4</v>
      </c>
      <c r="M359" s="160">
        <f>Capacity!$V$45</f>
        <v>0</v>
      </c>
      <c r="N359" s="160">
        <f>Capacity!$W$45</f>
        <v>0</v>
      </c>
      <c r="O359" s="160">
        <f>Capacity!$X$45</f>
        <v>0</v>
      </c>
    </row>
    <row r="360" spans="1:15" x14ac:dyDescent="0.35">
      <c r="A360" s="160" t="s">
        <v>29</v>
      </c>
      <c r="B360" s="160">
        <v>1</v>
      </c>
      <c r="C360" s="160" t="s">
        <v>43</v>
      </c>
      <c r="D360" s="160" t="s">
        <v>11</v>
      </c>
      <c r="E360" s="160">
        <f>Capacity!$H$45</f>
        <v>0</v>
      </c>
      <c r="F360" s="160">
        <f>Capacity!$J$45</f>
        <v>0</v>
      </c>
      <c r="G360" s="160">
        <f>Capacity!$K$45</f>
        <v>3</v>
      </c>
      <c r="H360" s="160" t="str">
        <f>Capacity!$L$45</f>
        <v/>
      </c>
      <c r="I360" s="160" t="str">
        <f>Capacity!$M$45</f>
        <v/>
      </c>
      <c r="J360" s="160">
        <f>Capacity!$N$45</f>
        <v>0</v>
      </c>
      <c r="K360" s="161" t="str">
        <f>Capacity!$O$45</f>
        <v/>
      </c>
      <c r="L360" s="161" t="s">
        <v>4</v>
      </c>
      <c r="M360" s="160">
        <f>Capacity!$V$45</f>
        <v>0</v>
      </c>
      <c r="N360" s="160">
        <f>Capacity!$W$45</f>
        <v>0</v>
      </c>
      <c r="O360" s="160">
        <f>Capacity!$X$45</f>
        <v>0</v>
      </c>
    </row>
    <row r="361" spans="1:15" x14ac:dyDescent="0.35">
      <c r="A361" s="160" t="s">
        <v>29</v>
      </c>
      <c r="B361" s="160">
        <v>1</v>
      </c>
      <c r="C361" s="160" t="s">
        <v>43</v>
      </c>
      <c r="D361" s="160" t="s">
        <v>12</v>
      </c>
      <c r="E361" s="160">
        <f>Capacity!I55</f>
        <v>0</v>
      </c>
      <c r="F361" s="160">
        <f>Capacity!$J$45</f>
        <v>0</v>
      </c>
      <c r="G361" s="160">
        <f>Capacity!$K$45</f>
        <v>3</v>
      </c>
      <c r="H361" s="160" t="str">
        <f>Capacity!$L$45</f>
        <v/>
      </c>
      <c r="I361" s="160" t="str">
        <f>Capacity!$M$45</f>
        <v/>
      </c>
      <c r="J361" s="160">
        <f>Capacity!$N$45</f>
        <v>0</v>
      </c>
      <c r="K361" s="161" t="str">
        <f>Capacity!$O$45</f>
        <v/>
      </c>
      <c r="L361" s="171" t="s">
        <v>4</v>
      </c>
      <c r="M361" s="165">
        <f>Capacity!$V$45</f>
        <v>0</v>
      </c>
      <c r="N361" s="165">
        <f>Capacity!$W$45</f>
        <v>0</v>
      </c>
      <c r="O361" s="165">
        <f>Capacity!$X$45</f>
        <v>0</v>
      </c>
    </row>
    <row r="362" spans="1:15" x14ac:dyDescent="0.35">
      <c r="A362" s="160" t="s">
        <v>29</v>
      </c>
      <c r="B362" s="160">
        <v>1</v>
      </c>
      <c r="C362" s="160" t="s">
        <v>43</v>
      </c>
      <c r="D362" s="160" t="s">
        <v>8</v>
      </c>
      <c r="E362" s="160">
        <f>Capacity!$E$45</f>
        <v>0</v>
      </c>
      <c r="F362" s="160">
        <f>Capacity!$J$45</f>
        <v>0</v>
      </c>
      <c r="G362" s="160">
        <f>Capacity!$K$45</f>
        <v>3</v>
      </c>
      <c r="H362" s="160" t="str">
        <f>Capacity!$L$45</f>
        <v/>
      </c>
      <c r="I362" s="160" t="str">
        <f>Capacity!$M$45</f>
        <v/>
      </c>
      <c r="J362" s="160">
        <f>Capacity!$N$45</f>
        <v>0</v>
      </c>
      <c r="K362" s="161" t="str">
        <f>Capacity!$O$45</f>
        <v/>
      </c>
      <c r="L362" s="160" t="s">
        <v>56</v>
      </c>
      <c r="M362" s="160">
        <f>Capacity!$Y$45</f>
        <v>0</v>
      </c>
      <c r="N362" s="160">
        <f>Capacity!$Z$45</f>
        <v>0</v>
      </c>
      <c r="O362" s="160">
        <f>Capacity!$AA$45</f>
        <v>0</v>
      </c>
    </row>
    <row r="363" spans="1:15" x14ac:dyDescent="0.35">
      <c r="A363" s="160" t="s">
        <v>29</v>
      </c>
      <c r="B363" s="160">
        <v>1</v>
      </c>
      <c r="C363" s="160" t="s">
        <v>43</v>
      </c>
      <c r="D363" s="160" t="s">
        <v>55</v>
      </c>
      <c r="E363" s="160">
        <f>Capacity!$F$45</f>
        <v>0</v>
      </c>
      <c r="F363" s="160">
        <f>Capacity!$J$45</f>
        <v>0</v>
      </c>
      <c r="G363" s="160">
        <f>Capacity!$K$45</f>
        <v>3</v>
      </c>
      <c r="H363" s="160" t="str">
        <f>Capacity!$L$45</f>
        <v/>
      </c>
      <c r="I363" s="160" t="str">
        <f>Capacity!$M$45</f>
        <v/>
      </c>
      <c r="J363" s="160">
        <f>Capacity!$N$45</f>
        <v>0</v>
      </c>
      <c r="K363" s="161" t="str">
        <f>Capacity!$O$45</f>
        <v/>
      </c>
      <c r="L363" s="160" t="s">
        <v>56</v>
      </c>
      <c r="M363" s="160">
        <f>Capacity!$Y$45</f>
        <v>0</v>
      </c>
      <c r="N363" s="160">
        <f>Capacity!$Z$45</f>
        <v>0</v>
      </c>
      <c r="O363" s="160">
        <f>Capacity!$AA$45</f>
        <v>0</v>
      </c>
    </row>
    <row r="364" spans="1:15" x14ac:dyDescent="0.35">
      <c r="A364" s="160" t="s">
        <v>29</v>
      </c>
      <c r="B364" s="160">
        <v>1</v>
      </c>
      <c r="C364" s="160" t="s">
        <v>43</v>
      </c>
      <c r="D364" s="160" t="s">
        <v>10</v>
      </c>
      <c r="E364" s="160">
        <f>Capacity!$G$45</f>
        <v>0</v>
      </c>
      <c r="F364" s="160">
        <f>Capacity!$J$45</f>
        <v>0</v>
      </c>
      <c r="G364" s="160">
        <f>Capacity!$K$45</f>
        <v>3</v>
      </c>
      <c r="H364" s="160" t="str">
        <f>Capacity!$L$45</f>
        <v/>
      </c>
      <c r="I364" s="160" t="str">
        <f>Capacity!$M$45</f>
        <v/>
      </c>
      <c r="J364" s="160">
        <f>Capacity!$N$45</f>
        <v>0</v>
      </c>
      <c r="K364" s="161" t="str">
        <f>Capacity!$O$45</f>
        <v/>
      </c>
      <c r="L364" s="160" t="s">
        <v>56</v>
      </c>
      <c r="M364" s="160">
        <f>Capacity!$Y$45</f>
        <v>0</v>
      </c>
      <c r="N364" s="160">
        <f>Capacity!$Z$45</f>
        <v>0</v>
      </c>
      <c r="O364" s="160">
        <f>Capacity!$AA$45</f>
        <v>0</v>
      </c>
    </row>
    <row r="365" spans="1:15" x14ac:dyDescent="0.35">
      <c r="A365" s="160" t="s">
        <v>29</v>
      </c>
      <c r="B365" s="160">
        <v>1</v>
      </c>
      <c r="C365" s="160" t="s">
        <v>43</v>
      </c>
      <c r="D365" s="160" t="s">
        <v>11</v>
      </c>
      <c r="E365" s="160">
        <f>Capacity!$H$45</f>
        <v>0</v>
      </c>
      <c r="F365" s="160">
        <f>Capacity!$J$45</f>
        <v>0</v>
      </c>
      <c r="G365" s="160">
        <f>Capacity!$K$45</f>
        <v>3</v>
      </c>
      <c r="H365" s="160" t="str">
        <f>Capacity!$L$45</f>
        <v/>
      </c>
      <c r="I365" s="160" t="str">
        <f>Capacity!$M$45</f>
        <v/>
      </c>
      <c r="J365" s="160">
        <f>Capacity!$N$45</f>
        <v>0</v>
      </c>
      <c r="K365" s="161" t="str">
        <f>Capacity!$O$45</f>
        <v/>
      </c>
      <c r="L365" s="160" t="s">
        <v>56</v>
      </c>
      <c r="M365" s="160">
        <f>Capacity!$Y$45</f>
        <v>0</v>
      </c>
      <c r="N365" s="160">
        <f>Capacity!$Z$45</f>
        <v>0</v>
      </c>
      <c r="O365" s="160">
        <f>Capacity!$AA$45</f>
        <v>0</v>
      </c>
    </row>
    <row r="366" spans="1:15" x14ac:dyDescent="0.35">
      <c r="A366" s="165" t="s">
        <v>29</v>
      </c>
      <c r="B366" s="165">
        <v>1</v>
      </c>
      <c r="C366" s="165" t="s">
        <v>43</v>
      </c>
      <c r="D366" s="165" t="s">
        <v>12</v>
      </c>
      <c r="E366" s="165">
        <f>Capacity!I60</f>
        <v>0</v>
      </c>
      <c r="F366" s="165">
        <f>Capacity!$J$45</f>
        <v>0</v>
      </c>
      <c r="G366" s="165">
        <f>Capacity!$K$45</f>
        <v>3</v>
      </c>
      <c r="H366" s="165" t="str">
        <f>Capacity!$L$45</f>
        <v/>
      </c>
      <c r="I366" s="165" t="str">
        <f>Capacity!$M$45</f>
        <v/>
      </c>
      <c r="J366" s="165">
        <f>Capacity!$N$45</f>
        <v>0</v>
      </c>
      <c r="K366" s="171" t="str">
        <f>Capacity!$O$45</f>
        <v/>
      </c>
      <c r="L366" s="165" t="s">
        <v>56</v>
      </c>
      <c r="M366" s="165">
        <f>Capacity!$Y$45</f>
        <v>0</v>
      </c>
      <c r="N366" s="165">
        <f>Capacity!$Z$45</f>
        <v>0</v>
      </c>
      <c r="O366" s="165">
        <f>Capacity!$AA$45</f>
        <v>0</v>
      </c>
    </row>
    <row r="367" spans="1:15" x14ac:dyDescent="0.35">
      <c r="A367" s="160" t="s">
        <v>31</v>
      </c>
      <c r="B367" s="160">
        <v>2</v>
      </c>
      <c r="C367" s="160" t="s">
        <v>43</v>
      </c>
      <c r="D367" s="160" t="s">
        <v>8</v>
      </c>
      <c r="E367" s="160">
        <f>Capacity!$E$46</f>
        <v>0</v>
      </c>
      <c r="F367" s="160">
        <f>Capacity!$J$46</f>
        <v>0</v>
      </c>
      <c r="G367" s="160">
        <f>Capacity!$K$46</f>
        <v>3</v>
      </c>
      <c r="H367" s="160" t="str">
        <f>Capacity!$L$46</f>
        <v/>
      </c>
      <c r="I367" s="160" t="str">
        <f>Capacity!$M$46</f>
        <v/>
      </c>
      <c r="J367" s="160">
        <f>Capacity!$N$46</f>
        <v>0</v>
      </c>
      <c r="K367" s="160" t="str">
        <f>Capacity!$O$46</f>
        <v/>
      </c>
      <c r="L367" s="160" t="s">
        <v>2</v>
      </c>
      <c r="M367" s="160">
        <f>Capacity!$P$46</f>
        <v>0</v>
      </c>
      <c r="N367" s="160">
        <f>Capacity!$Q$46</f>
        <v>0</v>
      </c>
      <c r="O367" s="160">
        <f>Capacity!$R$46</f>
        <v>0</v>
      </c>
    </row>
    <row r="368" spans="1:15" x14ac:dyDescent="0.35">
      <c r="A368" s="160" t="s">
        <v>31</v>
      </c>
      <c r="B368" s="160">
        <v>2</v>
      </c>
      <c r="C368" s="160" t="s">
        <v>43</v>
      </c>
      <c r="D368" s="160" t="s">
        <v>55</v>
      </c>
      <c r="E368" s="160">
        <f>Capacity!$F$46</f>
        <v>0</v>
      </c>
      <c r="F368" s="160">
        <f>Capacity!$J$46</f>
        <v>0</v>
      </c>
      <c r="G368" s="160">
        <f>Capacity!$K$46</f>
        <v>3</v>
      </c>
      <c r="H368" s="160" t="str">
        <f>Capacity!$L$46</f>
        <v/>
      </c>
      <c r="I368" s="160" t="str">
        <f>Capacity!$M$46</f>
        <v/>
      </c>
      <c r="J368" s="160">
        <f>Capacity!$N$46</f>
        <v>0</v>
      </c>
      <c r="K368" s="160" t="str">
        <f>Capacity!$O$46</f>
        <v/>
      </c>
      <c r="L368" s="160" t="s">
        <v>2</v>
      </c>
      <c r="M368" s="160">
        <f>Capacity!$P$46</f>
        <v>0</v>
      </c>
      <c r="N368" s="160">
        <f>Capacity!$Q$46</f>
        <v>0</v>
      </c>
      <c r="O368" s="160">
        <f>Capacity!$R$46</f>
        <v>0</v>
      </c>
    </row>
    <row r="369" spans="1:15" x14ac:dyDescent="0.35">
      <c r="A369" s="160" t="s">
        <v>31</v>
      </c>
      <c r="B369" s="160">
        <v>2</v>
      </c>
      <c r="C369" s="160" t="s">
        <v>43</v>
      </c>
      <c r="D369" s="160" t="s">
        <v>10</v>
      </c>
      <c r="E369" s="160">
        <f>Capacity!$G$46</f>
        <v>0</v>
      </c>
      <c r="F369" s="160">
        <f>Capacity!$J$46</f>
        <v>0</v>
      </c>
      <c r="G369" s="160">
        <f>Capacity!$K$46</f>
        <v>3</v>
      </c>
      <c r="H369" s="160" t="str">
        <f>Capacity!$L$46</f>
        <v/>
      </c>
      <c r="I369" s="160" t="str">
        <f>Capacity!$M$46</f>
        <v/>
      </c>
      <c r="J369" s="160">
        <f>Capacity!$N$46</f>
        <v>0</v>
      </c>
      <c r="K369" s="160" t="str">
        <f>Capacity!$O$46</f>
        <v/>
      </c>
      <c r="L369" s="160" t="s">
        <v>2</v>
      </c>
      <c r="M369" s="160">
        <f>Capacity!$P$46</f>
        <v>0</v>
      </c>
      <c r="N369" s="160">
        <f>Capacity!$Q$46</f>
        <v>0</v>
      </c>
      <c r="O369" s="160">
        <f>Capacity!$R$46</f>
        <v>0</v>
      </c>
    </row>
    <row r="370" spans="1:15" x14ac:dyDescent="0.35">
      <c r="A370" s="160" t="s">
        <v>31</v>
      </c>
      <c r="B370" s="160">
        <v>2</v>
      </c>
      <c r="C370" s="160" t="s">
        <v>43</v>
      </c>
      <c r="D370" s="160" t="s">
        <v>11</v>
      </c>
      <c r="E370" s="160">
        <f>Capacity!$H$46</f>
        <v>0</v>
      </c>
      <c r="F370" s="160">
        <f>Capacity!$J$46</f>
        <v>0</v>
      </c>
      <c r="G370" s="160">
        <f>Capacity!$K$46</f>
        <v>3</v>
      </c>
      <c r="H370" s="160" t="str">
        <f>Capacity!$L$46</f>
        <v/>
      </c>
      <c r="I370" s="160" t="str">
        <f>Capacity!$M$46</f>
        <v/>
      </c>
      <c r="J370" s="160">
        <f>Capacity!$N$46</f>
        <v>0</v>
      </c>
      <c r="K370" s="160" t="str">
        <f>Capacity!$O$46</f>
        <v/>
      </c>
      <c r="L370" s="160" t="s">
        <v>2</v>
      </c>
      <c r="M370" s="160">
        <f>Capacity!$P$46</f>
        <v>0</v>
      </c>
      <c r="N370" s="160">
        <f>Capacity!$Q$46</f>
        <v>0</v>
      </c>
      <c r="O370" s="160">
        <f>Capacity!$R$46</f>
        <v>0</v>
      </c>
    </row>
    <row r="371" spans="1:15" x14ac:dyDescent="0.35">
      <c r="A371" s="160" t="s">
        <v>31</v>
      </c>
      <c r="B371" s="160">
        <v>2</v>
      </c>
      <c r="C371" s="160" t="s">
        <v>43</v>
      </c>
      <c r="D371" s="160" t="s">
        <v>12</v>
      </c>
      <c r="E371" s="160">
        <f>Capacity!$I$46</f>
        <v>0</v>
      </c>
      <c r="F371" s="160">
        <f>Capacity!$J$46</f>
        <v>0</v>
      </c>
      <c r="G371" s="160">
        <f>Capacity!$K$46</f>
        <v>3</v>
      </c>
      <c r="H371" s="160" t="str">
        <f>Capacity!$L$46</f>
        <v/>
      </c>
      <c r="I371" s="160" t="str">
        <f>Capacity!$M$46</f>
        <v/>
      </c>
      <c r="J371" s="160">
        <f>Capacity!$N$46</f>
        <v>0</v>
      </c>
      <c r="K371" s="160" t="str">
        <f>Capacity!$O$46</f>
        <v/>
      </c>
      <c r="L371" s="165" t="s">
        <v>2</v>
      </c>
      <c r="M371" s="165">
        <f>Capacity!$P$46</f>
        <v>0</v>
      </c>
      <c r="N371" s="165">
        <f>Capacity!$Q$46</f>
        <v>0</v>
      </c>
      <c r="O371" s="165">
        <f>Capacity!$R$46</f>
        <v>0</v>
      </c>
    </row>
    <row r="372" spans="1:15" x14ac:dyDescent="0.35">
      <c r="A372" s="160" t="s">
        <v>31</v>
      </c>
      <c r="B372" s="160">
        <v>2</v>
      </c>
      <c r="C372" s="160" t="s">
        <v>43</v>
      </c>
      <c r="D372" s="160" t="s">
        <v>8</v>
      </c>
      <c r="E372" s="160">
        <f>Capacity!$E$46</f>
        <v>0</v>
      </c>
      <c r="F372" s="160">
        <f>Capacity!$J$46</f>
        <v>0</v>
      </c>
      <c r="G372" s="160">
        <f>Capacity!$K$46</f>
        <v>3</v>
      </c>
      <c r="H372" s="160" t="str">
        <f>Capacity!$L$46</f>
        <v/>
      </c>
      <c r="I372" s="160" t="str">
        <f>Capacity!$M$46</f>
        <v/>
      </c>
      <c r="J372" s="160">
        <f>Capacity!$N$46</f>
        <v>0</v>
      </c>
      <c r="K372" s="161" t="str">
        <f>Capacity!$O$46</f>
        <v/>
      </c>
      <c r="L372" s="160" t="s">
        <v>3</v>
      </c>
      <c r="M372" s="160">
        <f>Capacity!$S$46</f>
        <v>0</v>
      </c>
      <c r="N372" s="160">
        <f>Capacity!$T$45</f>
        <v>0</v>
      </c>
      <c r="O372" s="160">
        <f>Capacity!$U$46</f>
        <v>0</v>
      </c>
    </row>
    <row r="373" spans="1:15" x14ac:dyDescent="0.35">
      <c r="A373" s="160" t="s">
        <v>31</v>
      </c>
      <c r="B373" s="160">
        <v>2</v>
      </c>
      <c r="C373" s="160" t="s">
        <v>43</v>
      </c>
      <c r="D373" s="160" t="s">
        <v>55</v>
      </c>
      <c r="E373" s="160">
        <f>Capacity!$F$46</f>
        <v>0</v>
      </c>
      <c r="F373" s="160">
        <f>Capacity!$J$46</f>
        <v>0</v>
      </c>
      <c r="G373" s="160">
        <f>Capacity!$K$46</f>
        <v>3</v>
      </c>
      <c r="H373" s="160" t="str">
        <f>Capacity!$L$46</f>
        <v/>
      </c>
      <c r="I373" s="160" t="str">
        <f>Capacity!$M$46</f>
        <v/>
      </c>
      <c r="J373" s="160">
        <f>Capacity!$N$46</f>
        <v>0</v>
      </c>
      <c r="K373" s="161" t="str">
        <f>Capacity!$O$46</f>
        <v/>
      </c>
      <c r="L373" s="160" t="s">
        <v>3</v>
      </c>
      <c r="M373" s="160">
        <f>Capacity!$S$46</f>
        <v>0</v>
      </c>
      <c r="N373" s="160">
        <f>Capacity!$T$45</f>
        <v>0</v>
      </c>
      <c r="O373" s="160">
        <f>Capacity!$U$46</f>
        <v>0</v>
      </c>
    </row>
    <row r="374" spans="1:15" x14ac:dyDescent="0.35">
      <c r="A374" s="160" t="s">
        <v>31</v>
      </c>
      <c r="B374" s="160">
        <v>2</v>
      </c>
      <c r="C374" s="160" t="s">
        <v>43</v>
      </c>
      <c r="D374" s="160" t="s">
        <v>10</v>
      </c>
      <c r="E374" s="160">
        <f>Capacity!$G$46</f>
        <v>0</v>
      </c>
      <c r="F374" s="160">
        <f>Capacity!$J$46</f>
        <v>0</v>
      </c>
      <c r="G374" s="160">
        <f>Capacity!$K$46</f>
        <v>3</v>
      </c>
      <c r="H374" s="160" t="str">
        <f>Capacity!$L$46</f>
        <v/>
      </c>
      <c r="I374" s="160" t="str">
        <f>Capacity!$M$46</f>
        <v/>
      </c>
      <c r="J374" s="160">
        <f>Capacity!$N$46</f>
        <v>0</v>
      </c>
      <c r="K374" s="161" t="str">
        <f>Capacity!$O$46</f>
        <v/>
      </c>
      <c r="L374" s="160" t="s">
        <v>3</v>
      </c>
      <c r="M374" s="160">
        <f>Capacity!$S$46</f>
        <v>0</v>
      </c>
      <c r="N374" s="160">
        <f>Capacity!$T$45</f>
        <v>0</v>
      </c>
      <c r="O374" s="160">
        <f>Capacity!$U$46</f>
        <v>0</v>
      </c>
    </row>
    <row r="375" spans="1:15" x14ac:dyDescent="0.35">
      <c r="A375" s="160" t="s">
        <v>31</v>
      </c>
      <c r="B375" s="160">
        <v>2</v>
      </c>
      <c r="C375" s="160" t="s">
        <v>43</v>
      </c>
      <c r="D375" s="160" t="s">
        <v>11</v>
      </c>
      <c r="E375" s="160">
        <f>Capacity!$H$46</f>
        <v>0</v>
      </c>
      <c r="F375" s="160">
        <f>Capacity!$J$46</f>
        <v>0</v>
      </c>
      <c r="G375" s="160">
        <f>Capacity!$K$46</f>
        <v>3</v>
      </c>
      <c r="H375" s="160" t="str">
        <f>Capacity!$L$46</f>
        <v/>
      </c>
      <c r="I375" s="160" t="str">
        <f>Capacity!$M$46</f>
        <v/>
      </c>
      <c r="J375" s="160">
        <f>Capacity!$N$46</f>
        <v>0</v>
      </c>
      <c r="K375" s="161" t="str">
        <f>Capacity!$O$46</f>
        <v/>
      </c>
      <c r="L375" s="160" t="s">
        <v>3</v>
      </c>
      <c r="M375" s="160">
        <f>Capacity!$S$46</f>
        <v>0</v>
      </c>
      <c r="N375" s="160">
        <f>Capacity!$T$45</f>
        <v>0</v>
      </c>
      <c r="O375" s="160">
        <f>Capacity!$U$46</f>
        <v>0</v>
      </c>
    </row>
    <row r="376" spans="1:15" x14ac:dyDescent="0.35">
      <c r="A376" s="160" t="s">
        <v>31</v>
      </c>
      <c r="B376" s="160">
        <v>2</v>
      </c>
      <c r="C376" s="160" t="s">
        <v>43</v>
      </c>
      <c r="D376" s="160" t="s">
        <v>12</v>
      </c>
      <c r="E376" s="160">
        <f>Capacity!$I$46</f>
        <v>0</v>
      </c>
      <c r="F376" s="160">
        <f>Capacity!$J$46</f>
        <v>0</v>
      </c>
      <c r="G376" s="160">
        <f>Capacity!$K$46</f>
        <v>3</v>
      </c>
      <c r="H376" s="160" t="str">
        <f>Capacity!$L$46</f>
        <v/>
      </c>
      <c r="I376" s="160" t="str">
        <f>Capacity!$M$46</f>
        <v/>
      </c>
      <c r="J376" s="160">
        <f>Capacity!$N$46</f>
        <v>0</v>
      </c>
      <c r="K376" s="161" t="str">
        <f>Capacity!$O$46</f>
        <v/>
      </c>
      <c r="L376" s="165" t="s">
        <v>3</v>
      </c>
      <c r="M376" s="165">
        <f>Capacity!$S$46</f>
        <v>0</v>
      </c>
      <c r="N376" s="165">
        <f>Capacity!$T$45</f>
        <v>0</v>
      </c>
      <c r="O376" s="165">
        <f>Capacity!$U$46</f>
        <v>0</v>
      </c>
    </row>
    <row r="377" spans="1:15" x14ac:dyDescent="0.35">
      <c r="A377" s="160" t="s">
        <v>31</v>
      </c>
      <c r="B377" s="160">
        <v>2</v>
      </c>
      <c r="C377" s="160" t="s">
        <v>43</v>
      </c>
      <c r="D377" s="160" t="s">
        <v>8</v>
      </c>
      <c r="E377" s="160">
        <f>Capacity!$E$46</f>
        <v>0</v>
      </c>
      <c r="F377" s="160">
        <f>Capacity!$J$46</f>
        <v>0</v>
      </c>
      <c r="G377" s="160">
        <f>Capacity!$K$46</f>
        <v>3</v>
      </c>
      <c r="H377" s="160" t="str">
        <f>Capacity!$L$46</f>
        <v/>
      </c>
      <c r="I377" s="160" t="str">
        <f>Capacity!$M$46</f>
        <v/>
      </c>
      <c r="J377" s="160">
        <f>Capacity!$N$46</f>
        <v>0</v>
      </c>
      <c r="K377" s="161" t="str">
        <f>Capacity!$O$46</f>
        <v/>
      </c>
      <c r="L377" s="160" t="s">
        <v>4</v>
      </c>
      <c r="M377" s="160">
        <f>Capacity!$V$46</f>
        <v>0</v>
      </c>
      <c r="N377" s="160">
        <f>Capacity!$W$46</f>
        <v>0</v>
      </c>
      <c r="O377" s="160">
        <f>Capacity!$X$46</f>
        <v>0</v>
      </c>
    </row>
    <row r="378" spans="1:15" x14ac:dyDescent="0.35">
      <c r="A378" s="160" t="s">
        <v>31</v>
      </c>
      <c r="B378" s="160">
        <v>2</v>
      </c>
      <c r="C378" s="160" t="s">
        <v>43</v>
      </c>
      <c r="D378" s="160" t="s">
        <v>55</v>
      </c>
      <c r="E378" s="160">
        <f>Capacity!$F$46</f>
        <v>0</v>
      </c>
      <c r="F378" s="160">
        <f>Capacity!$J$46</f>
        <v>0</v>
      </c>
      <c r="G378" s="160">
        <f>Capacity!$K$46</f>
        <v>3</v>
      </c>
      <c r="H378" s="160" t="str">
        <f>Capacity!$L$46</f>
        <v/>
      </c>
      <c r="I378" s="160" t="str">
        <f>Capacity!$M$46</f>
        <v/>
      </c>
      <c r="J378" s="160">
        <f>Capacity!$N$46</f>
        <v>0</v>
      </c>
      <c r="K378" s="161" t="str">
        <f>Capacity!$O$46</f>
        <v/>
      </c>
      <c r="L378" s="160" t="s">
        <v>4</v>
      </c>
      <c r="M378" s="160">
        <f>Capacity!$V$46</f>
        <v>0</v>
      </c>
      <c r="N378" s="160">
        <f>Capacity!$W$46</f>
        <v>0</v>
      </c>
      <c r="O378" s="160">
        <f>Capacity!$X$46</f>
        <v>0</v>
      </c>
    </row>
    <row r="379" spans="1:15" x14ac:dyDescent="0.35">
      <c r="A379" s="160" t="s">
        <v>31</v>
      </c>
      <c r="B379" s="160">
        <v>2</v>
      </c>
      <c r="C379" s="160" t="s">
        <v>43</v>
      </c>
      <c r="D379" s="160" t="s">
        <v>10</v>
      </c>
      <c r="E379" s="160">
        <f>Capacity!$G$46</f>
        <v>0</v>
      </c>
      <c r="F379" s="160">
        <f>Capacity!$J$46</f>
        <v>0</v>
      </c>
      <c r="G379" s="160">
        <f>Capacity!$K$46</f>
        <v>3</v>
      </c>
      <c r="H379" s="160" t="str">
        <f>Capacity!$L$46</f>
        <v/>
      </c>
      <c r="I379" s="160" t="str">
        <f>Capacity!$M$46</f>
        <v/>
      </c>
      <c r="J379" s="160">
        <f>Capacity!$N$46</f>
        <v>0</v>
      </c>
      <c r="K379" s="161" t="str">
        <f>Capacity!$O$46</f>
        <v/>
      </c>
      <c r="L379" s="160" t="s">
        <v>4</v>
      </c>
      <c r="M379" s="160">
        <f>Capacity!$V$46</f>
        <v>0</v>
      </c>
      <c r="N379" s="160">
        <f>Capacity!$W$46</f>
        <v>0</v>
      </c>
      <c r="O379" s="160">
        <f>Capacity!$X$46</f>
        <v>0</v>
      </c>
    </row>
    <row r="380" spans="1:15" x14ac:dyDescent="0.35">
      <c r="A380" s="160" t="s">
        <v>31</v>
      </c>
      <c r="B380" s="160">
        <v>2</v>
      </c>
      <c r="C380" s="160" t="s">
        <v>43</v>
      </c>
      <c r="D380" s="160" t="s">
        <v>11</v>
      </c>
      <c r="E380" s="160">
        <f>Capacity!$H$46</f>
        <v>0</v>
      </c>
      <c r="F380" s="160">
        <f>Capacity!$J$46</f>
        <v>0</v>
      </c>
      <c r="G380" s="160">
        <f>Capacity!$K$46</f>
        <v>3</v>
      </c>
      <c r="H380" s="160" t="str">
        <f>Capacity!$L$46</f>
        <v/>
      </c>
      <c r="I380" s="160" t="str">
        <f>Capacity!$M$46</f>
        <v/>
      </c>
      <c r="J380" s="160">
        <f>Capacity!$N$46</f>
        <v>0</v>
      </c>
      <c r="K380" s="161" t="str">
        <f>Capacity!$O$46</f>
        <v/>
      </c>
      <c r="L380" s="160" t="s">
        <v>4</v>
      </c>
      <c r="M380" s="160">
        <f>Capacity!$V$46</f>
        <v>0</v>
      </c>
      <c r="N380" s="160">
        <f>Capacity!$W$46</f>
        <v>0</v>
      </c>
      <c r="O380" s="160">
        <f>Capacity!$X$46</f>
        <v>0</v>
      </c>
    </row>
    <row r="381" spans="1:15" x14ac:dyDescent="0.35">
      <c r="A381" s="160" t="s">
        <v>31</v>
      </c>
      <c r="B381" s="160">
        <v>2</v>
      </c>
      <c r="C381" s="160" t="s">
        <v>43</v>
      </c>
      <c r="D381" s="160" t="s">
        <v>12</v>
      </c>
      <c r="E381" s="160">
        <f>Capacity!$I$46</f>
        <v>0</v>
      </c>
      <c r="F381" s="160">
        <f>Capacity!$J$46</f>
        <v>0</v>
      </c>
      <c r="G381" s="160">
        <f>Capacity!$K$46</f>
        <v>3</v>
      </c>
      <c r="H381" s="160" t="str">
        <f>Capacity!$L$46</f>
        <v/>
      </c>
      <c r="I381" s="160" t="str">
        <f>Capacity!$M$46</f>
        <v/>
      </c>
      <c r="J381" s="160">
        <f>Capacity!$N$46</f>
        <v>0</v>
      </c>
      <c r="K381" s="161" t="str">
        <f>Capacity!$O$46</f>
        <v/>
      </c>
      <c r="L381" s="165" t="s">
        <v>4</v>
      </c>
      <c r="M381" s="165">
        <f>Capacity!$V$46</f>
        <v>0</v>
      </c>
      <c r="N381" s="165">
        <f>Capacity!$W$46</f>
        <v>0</v>
      </c>
      <c r="O381" s="165">
        <f>Capacity!$X$46</f>
        <v>0</v>
      </c>
    </row>
    <row r="382" spans="1:15" x14ac:dyDescent="0.35">
      <c r="A382" s="160" t="s">
        <v>31</v>
      </c>
      <c r="B382" s="160">
        <v>2</v>
      </c>
      <c r="C382" s="160" t="s">
        <v>43</v>
      </c>
      <c r="D382" s="160" t="s">
        <v>8</v>
      </c>
      <c r="E382" s="160">
        <f>Capacity!$E$46</f>
        <v>0</v>
      </c>
      <c r="F382" s="160">
        <f>Capacity!$J$46</f>
        <v>0</v>
      </c>
      <c r="G382" s="160">
        <f>Capacity!$K$46</f>
        <v>3</v>
      </c>
      <c r="H382" s="160" t="str">
        <f>Capacity!$L$46</f>
        <v/>
      </c>
      <c r="I382" s="160" t="str">
        <f>Capacity!$M$46</f>
        <v/>
      </c>
      <c r="J382" s="160">
        <f>Capacity!$N$46</f>
        <v>0</v>
      </c>
      <c r="K382" s="161" t="str">
        <f>Capacity!$O$46</f>
        <v/>
      </c>
      <c r="L382" s="160" t="s">
        <v>56</v>
      </c>
      <c r="M382" s="160">
        <f>Capacity!$Y$46</f>
        <v>0</v>
      </c>
      <c r="N382" s="160">
        <f>Capacity!$Z$46</f>
        <v>0</v>
      </c>
      <c r="O382" s="160">
        <f>Capacity!$AA$46</f>
        <v>0</v>
      </c>
    </row>
    <row r="383" spans="1:15" x14ac:dyDescent="0.35">
      <c r="A383" s="160" t="s">
        <v>31</v>
      </c>
      <c r="B383" s="160">
        <v>2</v>
      </c>
      <c r="C383" s="160" t="s">
        <v>43</v>
      </c>
      <c r="D383" s="160" t="s">
        <v>55</v>
      </c>
      <c r="E383" s="160">
        <f>Capacity!$F$46</f>
        <v>0</v>
      </c>
      <c r="F383" s="160">
        <f>Capacity!$J$46</f>
        <v>0</v>
      </c>
      <c r="G383" s="160">
        <f>Capacity!$K$46</f>
        <v>3</v>
      </c>
      <c r="H383" s="160" t="str">
        <f>Capacity!$L$46</f>
        <v/>
      </c>
      <c r="I383" s="160" t="str">
        <f>Capacity!$M$46</f>
        <v/>
      </c>
      <c r="J383" s="160">
        <f>Capacity!$N$46</f>
        <v>0</v>
      </c>
      <c r="K383" s="161" t="str">
        <f>Capacity!$O$46</f>
        <v/>
      </c>
      <c r="L383" s="160" t="s">
        <v>56</v>
      </c>
      <c r="M383" s="160">
        <f>Capacity!$Y$46</f>
        <v>0</v>
      </c>
      <c r="N383" s="160">
        <f>Capacity!$Z$46</f>
        <v>0</v>
      </c>
      <c r="O383" s="160">
        <f>Capacity!$AA$46</f>
        <v>0</v>
      </c>
    </row>
    <row r="384" spans="1:15" x14ac:dyDescent="0.35">
      <c r="A384" s="160" t="s">
        <v>31</v>
      </c>
      <c r="B384" s="160">
        <v>2</v>
      </c>
      <c r="C384" s="160" t="s">
        <v>43</v>
      </c>
      <c r="D384" s="160" t="s">
        <v>10</v>
      </c>
      <c r="E384" s="160">
        <f>Capacity!$G$46</f>
        <v>0</v>
      </c>
      <c r="F384" s="160">
        <f>Capacity!$J$46</f>
        <v>0</v>
      </c>
      <c r="G384" s="160">
        <f>Capacity!$K$46</f>
        <v>3</v>
      </c>
      <c r="H384" s="160" t="str">
        <f>Capacity!$L$46</f>
        <v/>
      </c>
      <c r="I384" s="160" t="str">
        <f>Capacity!$M$46</f>
        <v/>
      </c>
      <c r="J384" s="160">
        <f>Capacity!$N$46</f>
        <v>0</v>
      </c>
      <c r="K384" s="161" t="str">
        <f>Capacity!$O$46</f>
        <v/>
      </c>
      <c r="L384" s="160" t="s">
        <v>56</v>
      </c>
      <c r="M384" s="160">
        <f>Capacity!$Y$46</f>
        <v>0</v>
      </c>
      <c r="N384" s="160">
        <f>Capacity!$Z$46</f>
        <v>0</v>
      </c>
      <c r="O384" s="160">
        <f>Capacity!$AA$46</f>
        <v>0</v>
      </c>
    </row>
    <row r="385" spans="1:15" x14ac:dyDescent="0.35">
      <c r="A385" s="160" t="s">
        <v>31</v>
      </c>
      <c r="B385" s="160">
        <v>2</v>
      </c>
      <c r="C385" s="160" t="s">
        <v>43</v>
      </c>
      <c r="D385" s="160" t="s">
        <v>11</v>
      </c>
      <c r="E385" s="160">
        <f>Capacity!$H$46</f>
        <v>0</v>
      </c>
      <c r="F385" s="160">
        <f>Capacity!$J$46</f>
        <v>0</v>
      </c>
      <c r="G385" s="160">
        <f>Capacity!$K$46</f>
        <v>3</v>
      </c>
      <c r="H385" s="160" t="str">
        <f>Capacity!$L$46</f>
        <v/>
      </c>
      <c r="I385" s="160" t="str">
        <f>Capacity!$M$46</f>
        <v/>
      </c>
      <c r="J385" s="160">
        <f>Capacity!$N$46</f>
        <v>0</v>
      </c>
      <c r="K385" s="161" t="str">
        <f>Capacity!$O$46</f>
        <v/>
      </c>
      <c r="L385" s="160" t="s">
        <v>56</v>
      </c>
      <c r="M385" s="160">
        <f>Capacity!$Y$46</f>
        <v>0</v>
      </c>
      <c r="N385" s="160">
        <f>Capacity!$Z$46</f>
        <v>0</v>
      </c>
      <c r="O385" s="160">
        <f>Capacity!$AA$46</f>
        <v>0</v>
      </c>
    </row>
    <row r="386" spans="1:15" x14ac:dyDescent="0.35">
      <c r="A386" s="165" t="s">
        <v>31</v>
      </c>
      <c r="B386" s="165">
        <v>2</v>
      </c>
      <c r="C386" s="165" t="s">
        <v>43</v>
      </c>
      <c r="D386" s="165" t="s">
        <v>12</v>
      </c>
      <c r="E386" s="165">
        <f>Capacity!$I$46</f>
        <v>0</v>
      </c>
      <c r="F386" s="165">
        <f>Capacity!$J$46</f>
        <v>0</v>
      </c>
      <c r="G386" s="165">
        <f>Capacity!$K$46</f>
        <v>3</v>
      </c>
      <c r="H386" s="165" t="str">
        <f>Capacity!$L$46</f>
        <v/>
      </c>
      <c r="I386" s="165" t="str">
        <f>Capacity!$M$46</f>
        <v/>
      </c>
      <c r="J386" s="165">
        <f>Capacity!$N$46</f>
        <v>0</v>
      </c>
      <c r="K386" s="171" t="str">
        <f>Capacity!$O$46</f>
        <v/>
      </c>
      <c r="L386" s="165" t="s">
        <v>56</v>
      </c>
      <c r="M386" s="165">
        <f>Capacity!$Y$46</f>
        <v>0</v>
      </c>
      <c r="N386" s="165">
        <f>Capacity!$Z$46</f>
        <v>0</v>
      </c>
      <c r="O386" s="165">
        <f>Capacity!$AA$46</f>
        <v>0</v>
      </c>
    </row>
    <row r="387" spans="1:15" x14ac:dyDescent="0.35">
      <c r="A387" s="160" t="s">
        <v>32</v>
      </c>
      <c r="B387" s="160">
        <v>3</v>
      </c>
      <c r="C387" s="160" t="s">
        <v>43</v>
      </c>
      <c r="D387" s="160" t="s">
        <v>8</v>
      </c>
      <c r="E387" s="160">
        <f>Capacity!$E$47</f>
        <v>3</v>
      </c>
      <c r="F387" s="160">
        <f>Capacity!$J$47</f>
        <v>3</v>
      </c>
      <c r="G387" s="160">
        <f>Capacity!$K$47</f>
        <v>3</v>
      </c>
      <c r="H387" s="160" t="str">
        <f>Capacity!$L$47</f>
        <v/>
      </c>
      <c r="I387" s="160" t="str">
        <f>Capacity!$M$47</f>
        <v/>
      </c>
      <c r="J387" s="160">
        <f>Capacity!$N$47</f>
        <v>1350</v>
      </c>
      <c r="K387" s="160" t="str">
        <f>Capacity!$O$47</f>
        <v/>
      </c>
      <c r="L387" s="160" t="s">
        <v>2</v>
      </c>
      <c r="M387" s="160">
        <f>Capacity!$P$47</f>
        <v>1175</v>
      </c>
      <c r="N387" s="160">
        <f>Capacity!$Q$47</f>
        <v>1350</v>
      </c>
      <c r="O387" s="160">
        <f>Capacity!$R$47</f>
        <v>175</v>
      </c>
    </row>
    <row r="388" spans="1:15" x14ac:dyDescent="0.35">
      <c r="A388" s="160" t="s">
        <v>32</v>
      </c>
      <c r="B388" s="160">
        <v>3</v>
      </c>
      <c r="C388" s="160" t="s">
        <v>43</v>
      </c>
      <c r="D388" s="160" t="s">
        <v>55</v>
      </c>
      <c r="E388" s="160">
        <f>Capacity!$F$47</f>
        <v>3</v>
      </c>
      <c r="F388" s="160">
        <f>Capacity!$J$47</f>
        <v>3</v>
      </c>
      <c r="G388" s="160">
        <f>Capacity!$K$47</f>
        <v>3</v>
      </c>
      <c r="H388" s="160" t="str">
        <f>Capacity!$L$47</f>
        <v/>
      </c>
      <c r="I388" s="160" t="str">
        <f>Capacity!$M$47</f>
        <v/>
      </c>
      <c r="J388" s="160">
        <f>Capacity!$N$47</f>
        <v>1350</v>
      </c>
      <c r="K388" s="160" t="str">
        <f>Capacity!$O$47</f>
        <v/>
      </c>
      <c r="L388" s="160" t="s">
        <v>2</v>
      </c>
      <c r="M388" s="160">
        <f>Capacity!$P$47</f>
        <v>1175</v>
      </c>
      <c r="N388" s="160">
        <f>Capacity!$Q$47</f>
        <v>1350</v>
      </c>
      <c r="O388" s="160">
        <f>Capacity!$R$47</f>
        <v>175</v>
      </c>
    </row>
    <row r="389" spans="1:15" x14ac:dyDescent="0.35">
      <c r="A389" s="160" t="s">
        <v>32</v>
      </c>
      <c r="B389" s="160">
        <v>3</v>
      </c>
      <c r="C389" s="160" t="s">
        <v>43</v>
      </c>
      <c r="D389" s="160" t="s">
        <v>10</v>
      </c>
      <c r="E389" s="160">
        <f>Capacity!$G$47</f>
        <v>3</v>
      </c>
      <c r="F389" s="160">
        <f>Capacity!$J$47</f>
        <v>3</v>
      </c>
      <c r="G389" s="160">
        <f>Capacity!$K$47</f>
        <v>3</v>
      </c>
      <c r="H389" s="160" t="str">
        <f>Capacity!$L$47</f>
        <v/>
      </c>
      <c r="I389" s="160" t="str">
        <f>Capacity!$M$47</f>
        <v/>
      </c>
      <c r="J389" s="160">
        <f>Capacity!$N$47</f>
        <v>1350</v>
      </c>
      <c r="K389" s="160" t="str">
        <f>Capacity!$O$47</f>
        <v/>
      </c>
      <c r="L389" s="160" t="s">
        <v>2</v>
      </c>
      <c r="M389" s="160">
        <f>Capacity!$P$47</f>
        <v>1175</v>
      </c>
      <c r="N389" s="160">
        <f>Capacity!$Q$47</f>
        <v>1350</v>
      </c>
      <c r="O389" s="160">
        <f>Capacity!$R$47</f>
        <v>175</v>
      </c>
    </row>
    <row r="390" spans="1:15" x14ac:dyDescent="0.35">
      <c r="A390" s="160" t="s">
        <v>32</v>
      </c>
      <c r="B390" s="160">
        <v>3</v>
      </c>
      <c r="C390" s="160" t="s">
        <v>43</v>
      </c>
      <c r="D390" s="160" t="s">
        <v>11</v>
      </c>
      <c r="E390" s="160">
        <f>Capacity!$H$47</f>
        <v>3</v>
      </c>
      <c r="F390" s="160">
        <f>Capacity!$J$47</f>
        <v>3</v>
      </c>
      <c r="G390" s="160">
        <f>Capacity!$K$47</f>
        <v>3</v>
      </c>
      <c r="H390" s="160" t="str">
        <f>Capacity!$L$47</f>
        <v/>
      </c>
      <c r="I390" s="160" t="str">
        <f>Capacity!$M$47</f>
        <v/>
      </c>
      <c r="J390" s="160">
        <f>Capacity!$N$47</f>
        <v>1350</v>
      </c>
      <c r="K390" s="160" t="str">
        <f>Capacity!$O$47</f>
        <v/>
      </c>
      <c r="L390" s="160" t="s">
        <v>2</v>
      </c>
      <c r="M390" s="160">
        <f>Capacity!$P$47</f>
        <v>1175</v>
      </c>
      <c r="N390" s="160">
        <f>Capacity!$Q$47</f>
        <v>1350</v>
      </c>
      <c r="O390" s="160">
        <f>Capacity!$R$47</f>
        <v>175</v>
      </c>
    </row>
    <row r="391" spans="1:15" x14ac:dyDescent="0.35">
      <c r="A391" s="160" t="s">
        <v>32</v>
      </c>
      <c r="B391" s="160">
        <v>3</v>
      </c>
      <c r="C391" s="160" t="s">
        <v>43</v>
      </c>
      <c r="D391" s="160" t="s">
        <v>12</v>
      </c>
      <c r="E391" s="160">
        <f>Capacity!$I$47</f>
        <v>3</v>
      </c>
      <c r="F391" s="160">
        <f>Capacity!$J$47</f>
        <v>3</v>
      </c>
      <c r="G391" s="160">
        <f>Capacity!$K$47</f>
        <v>3</v>
      </c>
      <c r="H391" s="160" t="str">
        <f>Capacity!$L$47</f>
        <v/>
      </c>
      <c r="I391" s="160" t="str">
        <f>Capacity!$M$47</f>
        <v/>
      </c>
      <c r="J391" s="160">
        <f>Capacity!$N$47</f>
        <v>1350</v>
      </c>
      <c r="K391" s="160" t="str">
        <f>Capacity!$O$47</f>
        <v/>
      </c>
      <c r="L391" s="165" t="s">
        <v>2</v>
      </c>
      <c r="M391" s="165">
        <f>Capacity!$P$47</f>
        <v>1175</v>
      </c>
      <c r="N391" s="165">
        <f>Capacity!$Q$47</f>
        <v>1350</v>
      </c>
      <c r="O391" s="165">
        <f>Capacity!$R$47</f>
        <v>175</v>
      </c>
    </row>
    <row r="392" spans="1:15" x14ac:dyDescent="0.35">
      <c r="A392" s="160" t="s">
        <v>32</v>
      </c>
      <c r="B392" s="160">
        <v>3</v>
      </c>
      <c r="C392" s="160" t="s">
        <v>43</v>
      </c>
      <c r="D392" s="160" t="s">
        <v>8</v>
      </c>
      <c r="E392" s="160">
        <f>Capacity!$E$47</f>
        <v>3</v>
      </c>
      <c r="F392" s="160">
        <f>Capacity!$J$47</f>
        <v>3</v>
      </c>
      <c r="G392" s="160">
        <f>Capacity!$K$47</f>
        <v>3</v>
      </c>
      <c r="H392" s="160" t="str">
        <f>Capacity!$L$47</f>
        <v/>
      </c>
      <c r="I392" s="160" t="str">
        <f>Capacity!$M$47</f>
        <v/>
      </c>
      <c r="J392" s="160">
        <f>Capacity!$N$47</f>
        <v>1350</v>
      </c>
      <c r="K392" s="161" t="str">
        <f>Capacity!$O$47</f>
        <v/>
      </c>
      <c r="L392" s="160" t="s">
        <v>3</v>
      </c>
      <c r="M392" s="163">
        <f>Capacity!$S$47</f>
        <v>5.2222222222222223</v>
      </c>
      <c r="N392" s="163">
        <f>Capacity!$T$47</f>
        <v>6</v>
      </c>
      <c r="O392" s="163">
        <f>Capacity!$U$47</f>
        <v>0.77777777777777768</v>
      </c>
    </row>
    <row r="393" spans="1:15" x14ac:dyDescent="0.35">
      <c r="A393" s="160" t="s">
        <v>32</v>
      </c>
      <c r="B393" s="160">
        <v>3</v>
      </c>
      <c r="C393" s="160" t="s">
        <v>43</v>
      </c>
      <c r="D393" s="160" t="s">
        <v>55</v>
      </c>
      <c r="E393" s="160">
        <f>Capacity!$F$47</f>
        <v>3</v>
      </c>
      <c r="F393" s="160">
        <f>Capacity!$J$47</f>
        <v>3</v>
      </c>
      <c r="G393" s="160">
        <f>Capacity!$K$47</f>
        <v>3</v>
      </c>
      <c r="H393" s="160" t="str">
        <f>Capacity!$L$47</f>
        <v/>
      </c>
      <c r="I393" s="160" t="str">
        <f>Capacity!$M$47</f>
        <v/>
      </c>
      <c r="J393" s="160">
        <f>Capacity!$N$47</f>
        <v>1350</v>
      </c>
      <c r="K393" s="161" t="str">
        <f>Capacity!$O$47</f>
        <v/>
      </c>
      <c r="L393" s="160" t="s">
        <v>3</v>
      </c>
      <c r="M393" s="163">
        <f>Capacity!$S$47</f>
        <v>5.2222222222222223</v>
      </c>
      <c r="N393" s="163">
        <f>Capacity!$T$47</f>
        <v>6</v>
      </c>
      <c r="O393" s="163">
        <f>Capacity!$U$47</f>
        <v>0.77777777777777768</v>
      </c>
    </row>
    <row r="394" spans="1:15" x14ac:dyDescent="0.35">
      <c r="A394" s="160" t="s">
        <v>32</v>
      </c>
      <c r="B394" s="160">
        <v>3</v>
      </c>
      <c r="C394" s="160" t="s">
        <v>43</v>
      </c>
      <c r="D394" s="160" t="s">
        <v>10</v>
      </c>
      <c r="E394" s="160">
        <f>Capacity!$G$47</f>
        <v>3</v>
      </c>
      <c r="F394" s="160">
        <f>Capacity!$J$47</f>
        <v>3</v>
      </c>
      <c r="G394" s="160">
        <f>Capacity!$K$47</f>
        <v>3</v>
      </c>
      <c r="H394" s="160" t="str">
        <f>Capacity!$L$47</f>
        <v/>
      </c>
      <c r="I394" s="160" t="str">
        <f>Capacity!$M$47</f>
        <v/>
      </c>
      <c r="J394" s="160">
        <f>Capacity!$N$47</f>
        <v>1350</v>
      </c>
      <c r="K394" s="161" t="str">
        <f>Capacity!$O$47</f>
        <v/>
      </c>
      <c r="L394" s="160" t="s">
        <v>3</v>
      </c>
      <c r="M394" s="163">
        <f>Capacity!$S$47</f>
        <v>5.2222222222222223</v>
      </c>
      <c r="N394" s="163">
        <f>Capacity!$T$47</f>
        <v>6</v>
      </c>
      <c r="O394" s="163">
        <f>Capacity!$U$47</f>
        <v>0.77777777777777768</v>
      </c>
    </row>
    <row r="395" spans="1:15" x14ac:dyDescent="0.35">
      <c r="A395" s="160" t="s">
        <v>32</v>
      </c>
      <c r="B395" s="160">
        <v>3</v>
      </c>
      <c r="C395" s="160" t="s">
        <v>43</v>
      </c>
      <c r="D395" s="160" t="s">
        <v>11</v>
      </c>
      <c r="E395" s="160">
        <f>Capacity!$H$47</f>
        <v>3</v>
      </c>
      <c r="F395" s="160">
        <f>Capacity!$J$47</f>
        <v>3</v>
      </c>
      <c r="G395" s="160">
        <f>Capacity!$K$47</f>
        <v>3</v>
      </c>
      <c r="H395" s="160" t="str">
        <f>Capacity!$L$47</f>
        <v/>
      </c>
      <c r="I395" s="160" t="str">
        <f>Capacity!$M$47</f>
        <v/>
      </c>
      <c r="J395" s="160">
        <f>Capacity!$N$47</f>
        <v>1350</v>
      </c>
      <c r="K395" s="161" t="str">
        <f>Capacity!$O$47</f>
        <v/>
      </c>
      <c r="L395" s="160" t="s">
        <v>3</v>
      </c>
      <c r="M395" s="163">
        <f>Capacity!$S$47</f>
        <v>5.2222222222222223</v>
      </c>
      <c r="N395" s="163">
        <f>Capacity!$T$47</f>
        <v>6</v>
      </c>
      <c r="O395" s="163">
        <f>Capacity!$U$47</f>
        <v>0.77777777777777768</v>
      </c>
    </row>
    <row r="396" spans="1:15" x14ac:dyDescent="0.35">
      <c r="A396" s="160" t="s">
        <v>32</v>
      </c>
      <c r="B396" s="160">
        <v>3</v>
      </c>
      <c r="C396" s="160" t="s">
        <v>43</v>
      </c>
      <c r="D396" s="160" t="s">
        <v>12</v>
      </c>
      <c r="E396" s="160">
        <f>Capacity!$I$47</f>
        <v>3</v>
      </c>
      <c r="F396" s="160">
        <f>Capacity!$J$47</f>
        <v>3</v>
      </c>
      <c r="G396" s="160">
        <f>Capacity!$K$47</f>
        <v>3</v>
      </c>
      <c r="H396" s="160" t="str">
        <f>Capacity!$L$47</f>
        <v/>
      </c>
      <c r="I396" s="160" t="str">
        <f>Capacity!$M$47</f>
        <v/>
      </c>
      <c r="J396" s="160">
        <f>Capacity!$N$47</f>
        <v>1350</v>
      </c>
      <c r="K396" s="161" t="str">
        <f>Capacity!$O$47</f>
        <v/>
      </c>
      <c r="L396" s="165" t="s">
        <v>3</v>
      </c>
      <c r="M396" s="167">
        <f>Capacity!$S$47</f>
        <v>5.2222222222222223</v>
      </c>
      <c r="N396" s="167">
        <f>Capacity!$T$47</f>
        <v>6</v>
      </c>
      <c r="O396" s="167">
        <f>Capacity!$U$47</f>
        <v>0.77777777777777768</v>
      </c>
    </row>
    <row r="397" spans="1:15" x14ac:dyDescent="0.35">
      <c r="A397" s="160" t="s">
        <v>32</v>
      </c>
      <c r="B397" s="160">
        <v>3</v>
      </c>
      <c r="C397" s="160" t="s">
        <v>43</v>
      </c>
      <c r="D397" s="160" t="s">
        <v>8</v>
      </c>
      <c r="E397" s="160">
        <f>Capacity!$E$47</f>
        <v>3</v>
      </c>
      <c r="F397" s="160">
        <f>Capacity!$J$47</f>
        <v>3</v>
      </c>
      <c r="G397" s="160">
        <f>Capacity!$K$47</f>
        <v>3</v>
      </c>
      <c r="H397" s="160" t="str">
        <f>Capacity!$L$47</f>
        <v/>
      </c>
      <c r="I397" s="160" t="str">
        <f>Capacity!$M$47</f>
        <v/>
      </c>
      <c r="J397" s="160">
        <f>Capacity!$N$47</f>
        <v>1350</v>
      </c>
      <c r="K397" s="161" t="str">
        <f>Capacity!$O$47</f>
        <v/>
      </c>
      <c r="L397" s="160" t="s">
        <v>4</v>
      </c>
      <c r="M397" s="163">
        <f>Capacity!$V$47</f>
        <v>2.6111111111111112</v>
      </c>
      <c r="N397" s="163">
        <f>Capacity!$W$47</f>
        <v>3</v>
      </c>
      <c r="O397" s="163">
        <f>Capacity!$X$47</f>
        <v>0.38888888888888884</v>
      </c>
    </row>
    <row r="398" spans="1:15" x14ac:dyDescent="0.35">
      <c r="A398" s="160" t="s">
        <v>32</v>
      </c>
      <c r="B398" s="160">
        <v>3</v>
      </c>
      <c r="C398" s="160" t="s">
        <v>43</v>
      </c>
      <c r="D398" s="160" t="s">
        <v>55</v>
      </c>
      <c r="E398" s="160">
        <f>Capacity!$F$47</f>
        <v>3</v>
      </c>
      <c r="F398" s="160">
        <f>Capacity!$J$47</f>
        <v>3</v>
      </c>
      <c r="G398" s="160">
        <f>Capacity!$K$47</f>
        <v>3</v>
      </c>
      <c r="H398" s="160" t="str">
        <f>Capacity!$L$47</f>
        <v/>
      </c>
      <c r="I398" s="160" t="str">
        <f>Capacity!$M$47</f>
        <v/>
      </c>
      <c r="J398" s="160">
        <f>Capacity!$N$47</f>
        <v>1350</v>
      </c>
      <c r="K398" s="161" t="str">
        <f>Capacity!$O$47</f>
        <v/>
      </c>
      <c r="L398" s="160" t="s">
        <v>4</v>
      </c>
      <c r="M398" s="163">
        <f>Capacity!$V$47</f>
        <v>2.6111111111111112</v>
      </c>
      <c r="N398" s="163">
        <f>Capacity!$W$47</f>
        <v>3</v>
      </c>
      <c r="O398" s="163">
        <f>Capacity!$X$47</f>
        <v>0.38888888888888884</v>
      </c>
    </row>
    <row r="399" spans="1:15" x14ac:dyDescent="0.35">
      <c r="A399" s="160" t="s">
        <v>32</v>
      </c>
      <c r="B399" s="160">
        <v>3</v>
      </c>
      <c r="C399" s="160" t="s">
        <v>43</v>
      </c>
      <c r="D399" s="160" t="s">
        <v>10</v>
      </c>
      <c r="E399" s="160">
        <f>Capacity!$G$47</f>
        <v>3</v>
      </c>
      <c r="F399" s="160">
        <f>Capacity!$J$47</f>
        <v>3</v>
      </c>
      <c r="G399" s="160">
        <f>Capacity!$K$47</f>
        <v>3</v>
      </c>
      <c r="H399" s="160" t="str">
        <f>Capacity!$L$47</f>
        <v/>
      </c>
      <c r="I399" s="160" t="str">
        <f>Capacity!$M$47</f>
        <v/>
      </c>
      <c r="J399" s="160">
        <f>Capacity!$N$47</f>
        <v>1350</v>
      </c>
      <c r="K399" s="161" t="str">
        <f>Capacity!$O$47</f>
        <v/>
      </c>
      <c r="L399" s="160" t="s">
        <v>4</v>
      </c>
      <c r="M399" s="163">
        <f>Capacity!$V$47</f>
        <v>2.6111111111111112</v>
      </c>
      <c r="N399" s="163">
        <f>Capacity!$W$47</f>
        <v>3</v>
      </c>
      <c r="O399" s="163">
        <f>Capacity!$X$47</f>
        <v>0.38888888888888884</v>
      </c>
    </row>
    <row r="400" spans="1:15" x14ac:dyDescent="0.35">
      <c r="A400" s="160" t="s">
        <v>32</v>
      </c>
      <c r="B400" s="160">
        <v>3</v>
      </c>
      <c r="C400" s="160" t="s">
        <v>43</v>
      </c>
      <c r="D400" s="160" t="s">
        <v>11</v>
      </c>
      <c r="E400" s="160">
        <f>Capacity!$H$47</f>
        <v>3</v>
      </c>
      <c r="F400" s="160">
        <f>Capacity!$J$47</f>
        <v>3</v>
      </c>
      <c r="G400" s="160">
        <f>Capacity!$K$47</f>
        <v>3</v>
      </c>
      <c r="H400" s="160" t="str">
        <f>Capacity!$L$47</f>
        <v/>
      </c>
      <c r="I400" s="160" t="str">
        <f>Capacity!$M$47</f>
        <v/>
      </c>
      <c r="J400" s="160">
        <f>Capacity!$N$47</f>
        <v>1350</v>
      </c>
      <c r="K400" s="161" t="str">
        <f>Capacity!$O$47</f>
        <v/>
      </c>
      <c r="L400" s="160" t="s">
        <v>4</v>
      </c>
      <c r="M400" s="163">
        <f>Capacity!$V$47</f>
        <v>2.6111111111111112</v>
      </c>
      <c r="N400" s="163">
        <f>Capacity!$W$47</f>
        <v>3</v>
      </c>
      <c r="O400" s="163">
        <f>Capacity!$X$47</f>
        <v>0.38888888888888884</v>
      </c>
    </row>
    <row r="401" spans="1:15" x14ac:dyDescent="0.35">
      <c r="A401" s="160" t="s">
        <v>32</v>
      </c>
      <c r="B401" s="160">
        <v>3</v>
      </c>
      <c r="C401" s="160" t="s">
        <v>43</v>
      </c>
      <c r="D401" s="160" t="s">
        <v>12</v>
      </c>
      <c r="E401" s="160">
        <f>Capacity!$I$47</f>
        <v>3</v>
      </c>
      <c r="F401" s="160">
        <f>Capacity!$J$47</f>
        <v>3</v>
      </c>
      <c r="G401" s="160">
        <f>Capacity!$K$47</f>
        <v>3</v>
      </c>
      <c r="H401" s="160" t="str">
        <f>Capacity!$L$47</f>
        <v/>
      </c>
      <c r="I401" s="160" t="str">
        <f>Capacity!$M$47</f>
        <v/>
      </c>
      <c r="J401" s="160">
        <f>Capacity!$N$47</f>
        <v>1350</v>
      </c>
      <c r="K401" s="161" t="str">
        <f>Capacity!$O$47</f>
        <v/>
      </c>
      <c r="L401" s="165" t="s">
        <v>4</v>
      </c>
      <c r="M401" s="167">
        <f>Capacity!$V$47</f>
        <v>2.6111111111111112</v>
      </c>
      <c r="N401" s="167">
        <f>Capacity!$W$47</f>
        <v>3</v>
      </c>
      <c r="O401" s="167">
        <f>Capacity!$X$47</f>
        <v>0.38888888888888884</v>
      </c>
    </row>
    <row r="402" spans="1:15" x14ac:dyDescent="0.35">
      <c r="A402" s="160" t="s">
        <v>32</v>
      </c>
      <c r="B402" s="160">
        <v>3</v>
      </c>
      <c r="C402" s="160" t="s">
        <v>43</v>
      </c>
      <c r="D402" s="160" t="s">
        <v>8</v>
      </c>
      <c r="E402" s="160">
        <f>Capacity!$E$47</f>
        <v>3</v>
      </c>
      <c r="F402" s="160">
        <f>Capacity!$J$47</f>
        <v>3</v>
      </c>
      <c r="G402" s="160">
        <f>Capacity!$K$47</f>
        <v>3</v>
      </c>
      <c r="H402" s="160" t="str">
        <f>Capacity!$L$47</f>
        <v/>
      </c>
      <c r="I402" s="160" t="str">
        <f>Capacity!$M$47</f>
        <v/>
      </c>
      <c r="J402" s="160">
        <f>Capacity!$N$47</f>
        <v>1350</v>
      </c>
      <c r="K402" s="161" t="str">
        <f>Capacity!$O$47</f>
        <v/>
      </c>
      <c r="L402" s="160" t="s">
        <v>56</v>
      </c>
      <c r="M402" s="167">
        <f>Capacity!$Y$47</f>
        <v>100</v>
      </c>
      <c r="N402" s="167">
        <f>Capacity!$Z$47</f>
        <v>114.8936170212766</v>
      </c>
      <c r="O402" s="167">
        <f>Capacity!$AA$47</f>
        <v>14.893617021276597</v>
      </c>
    </row>
    <row r="403" spans="1:15" x14ac:dyDescent="0.35">
      <c r="A403" s="160" t="s">
        <v>32</v>
      </c>
      <c r="B403" s="160">
        <v>3</v>
      </c>
      <c r="C403" s="160" t="s">
        <v>43</v>
      </c>
      <c r="D403" s="160" t="s">
        <v>55</v>
      </c>
      <c r="E403" s="160">
        <f>Capacity!$F$47</f>
        <v>3</v>
      </c>
      <c r="F403" s="160">
        <f>Capacity!$J$47</f>
        <v>3</v>
      </c>
      <c r="G403" s="160">
        <f>Capacity!$K$47</f>
        <v>3</v>
      </c>
      <c r="H403" s="160" t="str">
        <f>Capacity!$L$47</f>
        <v/>
      </c>
      <c r="I403" s="160" t="str">
        <f>Capacity!$M$47</f>
        <v/>
      </c>
      <c r="J403" s="160">
        <f>Capacity!$N$47</f>
        <v>1350</v>
      </c>
      <c r="K403" s="161" t="str">
        <f>Capacity!$O$47</f>
        <v/>
      </c>
      <c r="L403" s="160" t="s">
        <v>56</v>
      </c>
      <c r="M403" s="167">
        <f>Capacity!$Y$47</f>
        <v>100</v>
      </c>
      <c r="N403" s="167">
        <f>Capacity!$Z$47</f>
        <v>114.8936170212766</v>
      </c>
      <c r="O403" s="167">
        <f>Capacity!$AA$47</f>
        <v>14.893617021276597</v>
      </c>
    </row>
    <row r="404" spans="1:15" x14ac:dyDescent="0.35">
      <c r="A404" s="160" t="s">
        <v>32</v>
      </c>
      <c r="B404" s="160">
        <v>3</v>
      </c>
      <c r="C404" s="160" t="s">
        <v>43</v>
      </c>
      <c r="D404" s="160" t="s">
        <v>10</v>
      </c>
      <c r="E404" s="160">
        <f>Capacity!$G$47</f>
        <v>3</v>
      </c>
      <c r="F404" s="160">
        <f>Capacity!$J$47</f>
        <v>3</v>
      </c>
      <c r="G404" s="160">
        <f>Capacity!$K$47</f>
        <v>3</v>
      </c>
      <c r="H404" s="160" t="str">
        <f>Capacity!$L$47</f>
        <v/>
      </c>
      <c r="I404" s="160" t="str">
        <f>Capacity!$M$47</f>
        <v/>
      </c>
      <c r="J404" s="160">
        <f>Capacity!$N$47</f>
        <v>1350</v>
      </c>
      <c r="K404" s="161" t="str">
        <f>Capacity!$O$47</f>
        <v/>
      </c>
      <c r="L404" s="160" t="s">
        <v>56</v>
      </c>
      <c r="M404" s="167">
        <f>Capacity!$Y$47</f>
        <v>100</v>
      </c>
      <c r="N404" s="167">
        <f>Capacity!$Z$47</f>
        <v>114.8936170212766</v>
      </c>
      <c r="O404" s="167">
        <f>Capacity!$AA$47</f>
        <v>14.893617021276597</v>
      </c>
    </row>
    <row r="405" spans="1:15" x14ac:dyDescent="0.35">
      <c r="A405" s="160" t="s">
        <v>32</v>
      </c>
      <c r="B405" s="160">
        <v>3</v>
      </c>
      <c r="C405" s="160" t="s">
        <v>43</v>
      </c>
      <c r="D405" s="160" t="s">
        <v>11</v>
      </c>
      <c r="E405" s="160">
        <f>Capacity!$H$47</f>
        <v>3</v>
      </c>
      <c r="F405" s="160">
        <f>Capacity!$J$47</f>
        <v>3</v>
      </c>
      <c r="G405" s="160">
        <f>Capacity!$K$47</f>
        <v>3</v>
      </c>
      <c r="H405" s="160" t="str">
        <f>Capacity!$L$47</f>
        <v/>
      </c>
      <c r="I405" s="160" t="str">
        <f>Capacity!$M$47</f>
        <v/>
      </c>
      <c r="J405" s="160">
        <f>Capacity!$N$47</f>
        <v>1350</v>
      </c>
      <c r="K405" s="161" t="str">
        <f>Capacity!$O$47</f>
        <v/>
      </c>
      <c r="L405" s="160" t="s">
        <v>56</v>
      </c>
      <c r="M405" s="167">
        <f>Capacity!$Y$47</f>
        <v>100</v>
      </c>
      <c r="N405" s="167">
        <f>Capacity!$Z$47</f>
        <v>114.8936170212766</v>
      </c>
      <c r="O405" s="167">
        <f>Capacity!$AA$47</f>
        <v>14.893617021276597</v>
      </c>
    </row>
    <row r="406" spans="1:15" x14ac:dyDescent="0.35">
      <c r="A406" s="165" t="s">
        <v>32</v>
      </c>
      <c r="B406" s="165">
        <v>3</v>
      </c>
      <c r="C406" s="165" t="s">
        <v>43</v>
      </c>
      <c r="D406" s="165" t="s">
        <v>12</v>
      </c>
      <c r="E406" s="165">
        <f>Capacity!$I$47</f>
        <v>3</v>
      </c>
      <c r="F406" s="165">
        <f>Capacity!$J$47</f>
        <v>3</v>
      </c>
      <c r="G406" s="165">
        <f>Capacity!$K$47</f>
        <v>3</v>
      </c>
      <c r="H406" s="165" t="str">
        <f>Capacity!$L$47</f>
        <v/>
      </c>
      <c r="I406" s="165" t="str">
        <f>Capacity!$M$47</f>
        <v/>
      </c>
      <c r="J406" s="165">
        <f>Capacity!$N$47</f>
        <v>1350</v>
      </c>
      <c r="K406" s="171" t="str">
        <f>Capacity!$O$47</f>
        <v/>
      </c>
      <c r="L406" s="165" t="s">
        <v>56</v>
      </c>
      <c r="M406" s="167">
        <f>Capacity!$Y$47</f>
        <v>100</v>
      </c>
      <c r="N406" s="167">
        <f>Capacity!$Z$47</f>
        <v>114.8936170212766</v>
      </c>
      <c r="O406" s="167">
        <f>Capacity!$AA$47</f>
        <v>14.893617021276597</v>
      </c>
    </row>
    <row r="407" spans="1:15" x14ac:dyDescent="0.35">
      <c r="A407" s="160" t="s">
        <v>33</v>
      </c>
      <c r="B407" s="160">
        <v>4</v>
      </c>
      <c r="C407" s="160" t="s">
        <v>43</v>
      </c>
      <c r="D407" s="160" t="s">
        <v>8</v>
      </c>
      <c r="E407" s="160">
        <f>Capacity!$E$48</f>
        <v>3</v>
      </c>
      <c r="F407" s="160">
        <f>Capacity!$J$48</f>
        <v>3</v>
      </c>
      <c r="G407" s="160">
        <f>Capacity!$K$48</f>
        <v>3</v>
      </c>
      <c r="H407" s="160" t="str">
        <f>Capacity!$L$48</f>
        <v/>
      </c>
      <c r="I407" s="160" t="str">
        <f>Capacity!$M$48</f>
        <v/>
      </c>
      <c r="J407" s="160">
        <f>Capacity!$N$48</f>
        <v>1350</v>
      </c>
      <c r="K407" s="160" t="str">
        <f>Capacity!$O$48</f>
        <v/>
      </c>
      <c r="L407" s="160" t="s">
        <v>2</v>
      </c>
      <c r="M407" s="160">
        <f>Capacity!$P$48</f>
        <v>1175</v>
      </c>
      <c r="N407" s="160">
        <f>Capacity!$Q$48</f>
        <v>1350</v>
      </c>
      <c r="O407" s="160">
        <f>Capacity!$R$48</f>
        <v>175</v>
      </c>
    </row>
    <row r="408" spans="1:15" x14ac:dyDescent="0.35">
      <c r="A408" s="160" t="s">
        <v>33</v>
      </c>
      <c r="B408" s="160">
        <v>4</v>
      </c>
      <c r="C408" s="160" t="s">
        <v>43</v>
      </c>
      <c r="D408" s="160" t="s">
        <v>55</v>
      </c>
      <c r="E408" s="160">
        <f>Capacity!$F$48</f>
        <v>3</v>
      </c>
      <c r="F408" s="160">
        <f>Capacity!$J$48</f>
        <v>3</v>
      </c>
      <c r="G408" s="160">
        <f>Capacity!$K$48</f>
        <v>3</v>
      </c>
      <c r="H408" s="160" t="str">
        <f>Capacity!$L$48</f>
        <v/>
      </c>
      <c r="I408" s="160" t="str">
        <f>Capacity!$M$48</f>
        <v/>
      </c>
      <c r="J408" s="160">
        <f>Capacity!$N$48</f>
        <v>1350</v>
      </c>
      <c r="K408" s="160" t="str">
        <f>Capacity!$O$48</f>
        <v/>
      </c>
      <c r="L408" s="160" t="s">
        <v>2</v>
      </c>
      <c r="M408" s="160">
        <f>Capacity!$P$48</f>
        <v>1175</v>
      </c>
      <c r="N408" s="160">
        <f>Capacity!$Q$48</f>
        <v>1350</v>
      </c>
      <c r="O408" s="160">
        <f>Capacity!$R$48</f>
        <v>175</v>
      </c>
    </row>
    <row r="409" spans="1:15" x14ac:dyDescent="0.35">
      <c r="A409" s="160" t="s">
        <v>33</v>
      </c>
      <c r="B409" s="160">
        <v>4</v>
      </c>
      <c r="C409" s="160" t="s">
        <v>43</v>
      </c>
      <c r="D409" s="160" t="s">
        <v>10</v>
      </c>
      <c r="E409" s="160">
        <f>Capacity!$G$48</f>
        <v>3</v>
      </c>
      <c r="F409" s="160">
        <f>Capacity!$J$48</f>
        <v>3</v>
      </c>
      <c r="G409" s="160">
        <f>Capacity!$K$48</f>
        <v>3</v>
      </c>
      <c r="H409" s="160" t="str">
        <f>Capacity!$L$48</f>
        <v/>
      </c>
      <c r="I409" s="160" t="str">
        <f>Capacity!$M$48</f>
        <v/>
      </c>
      <c r="J409" s="160">
        <f>Capacity!$N$48</f>
        <v>1350</v>
      </c>
      <c r="K409" s="160" t="str">
        <f>Capacity!$O$48</f>
        <v/>
      </c>
      <c r="L409" s="160" t="s">
        <v>2</v>
      </c>
      <c r="M409" s="160">
        <f>Capacity!$P$48</f>
        <v>1175</v>
      </c>
      <c r="N409" s="160">
        <f>Capacity!$Q$48</f>
        <v>1350</v>
      </c>
      <c r="O409" s="160">
        <f>Capacity!$R$48</f>
        <v>175</v>
      </c>
    </row>
    <row r="410" spans="1:15" x14ac:dyDescent="0.35">
      <c r="A410" s="160" t="s">
        <v>33</v>
      </c>
      <c r="B410" s="160">
        <v>4</v>
      </c>
      <c r="C410" s="160" t="s">
        <v>43</v>
      </c>
      <c r="D410" s="160" t="s">
        <v>11</v>
      </c>
      <c r="E410" s="160">
        <f>Capacity!$H$48</f>
        <v>3</v>
      </c>
      <c r="F410" s="160">
        <f>Capacity!$J$48</f>
        <v>3</v>
      </c>
      <c r="G410" s="160">
        <f>Capacity!$K$48</f>
        <v>3</v>
      </c>
      <c r="H410" s="160" t="str">
        <f>Capacity!$L$48</f>
        <v/>
      </c>
      <c r="I410" s="160" t="str">
        <f>Capacity!$M$48</f>
        <v/>
      </c>
      <c r="J410" s="160">
        <f>Capacity!$N$48</f>
        <v>1350</v>
      </c>
      <c r="K410" s="160" t="str">
        <f>Capacity!$O$48</f>
        <v/>
      </c>
      <c r="L410" s="160" t="s">
        <v>2</v>
      </c>
      <c r="M410" s="160">
        <f>Capacity!$P$48</f>
        <v>1175</v>
      </c>
      <c r="N410" s="160">
        <f>Capacity!$Q$48</f>
        <v>1350</v>
      </c>
      <c r="O410" s="160">
        <f>Capacity!$R$48</f>
        <v>175</v>
      </c>
    </row>
    <row r="411" spans="1:15" x14ac:dyDescent="0.35">
      <c r="A411" s="160" t="s">
        <v>33</v>
      </c>
      <c r="B411" s="160">
        <v>4</v>
      </c>
      <c r="C411" s="160" t="s">
        <v>43</v>
      </c>
      <c r="D411" s="160" t="s">
        <v>12</v>
      </c>
      <c r="E411" s="160">
        <f>Capacity!$I$48</f>
        <v>3</v>
      </c>
      <c r="F411" s="160">
        <f>Capacity!$J$48</f>
        <v>3</v>
      </c>
      <c r="G411" s="160">
        <f>Capacity!$K$48</f>
        <v>3</v>
      </c>
      <c r="H411" s="160" t="str">
        <f>Capacity!$L$48</f>
        <v/>
      </c>
      <c r="I411" s="160" t="str">
        <f>Capacity!$M$48</f>
        <v/>
      </c>
      <c r="J411" s="160">
        <f>Capacity!$N$48</f>
        <v>1350</v>
      </c>
      <c r="K411" s="160" t="str">
        <f>Capacity!$O$48</f>
        <v/>
      </c>
      <c r="L411" s="160" t="s">
        <v>2</v>
      </c>
      <c r="M411" s="165">
        <f>Capacity!$P$48</f>
        <v>1175</v>
      </c>
      <c r="N411" s="165">
        <f>Capacity!$Q$48</f>
        <v>1350</v>
      </c>
      <c r="O411" s="165">
        <f>Capacity!$R$48</f>
        <v>175</v>
      </c>
    </row>
    <row r="412" spans="1:15" x14ac:dyDescent="0.35">
      <c r="A412" s="160" t="s">
        <v>33</v>
      </c>
      <c r="B412" s="160">
        <v>4</v>
      </c>
      <c r="C412" s="160" t="s">
        <v>43</v>
      </c>
      <c r="D412" s="160" t="s">
        <v>8</v>
      </c>
      <c r="E412" s="160">
        <f>Capacity!$E$48</f>
        <v>3</v>
      </c>
      <c r="F412" s="160">
        <f>Capacity!$J$48</f>
        <v>3</v>
      </c>
      <c r="G412" s="160">
        <f>Capacity!$K$48</f>
        <v>3</v>
      </c>
      <c r="H412" s="160" t="str">
        <f>Capacity!$L$48</f>
        <v/>
      </c>
      <c r="I412" s="160" t="str">
        <f>Capacity!$M$48</f>
        <v/>
      </c>
      <c r="J412" s="160">
        <f>Capacity!$N$48</f>
        <v>1350</v>
      </c>
      <c r="K412" s="160" t="str">
        <f>Capacity!$O$48</f>
        <v/>
      </c>
      <c r="L412" s="173" t="s">
        <v>3</v>
      </c>
      <c r="M412" s="163">
        <f>Capacity!$S$48</f>
        <v>5.2222222222222223</v>
      </c>
      <c r="N412" s="163">
        <f>Capacity!$T$48</f>
        <v>6</v>
      </c>
      <c r="O412" s="163">
        <f>Capacity!$U$48</f>
        <v>0.77777777777777768</v>
      </c>
    </row>
    <row r="413" spans="1:15" x14ac:dyDescent="0.35">
      <c r="A413" s="160" t="s">
        <v>33</v>
      </c>
      <c r="B413" s="160">
        <v>4</v>
      </c>
      <c r="C413" s="160" t="s">
        <v>43</v>
      </c>
      <c r="D413" s="160" t="s">
        <v>55</v>
      </c>
      <c r="E413" s="160">
        <f>Capacity!$F$48</f>
        <v>3</v>
      </c>
      <c r="F413" s="160">
        <f>Capacity!$J$48</f>
        <v>3</v>
      </c>
      <c r="G413" s="160">
        <f>Capacity!$K$48</f>
        <v>3</v>
      </c>
      <c r="H413" s="160" t="str">
        <f>Capacity!$L$48</f>
        <v/>
      </c>
      <c r="I413" s="160" t="str">
        <f>Capacity!$M$48</f>
        <v/>
      </c>
      <c r="J413" s="160">
        <f>Capacity!$N$48</f>
        <v>1350</v>
      </c>
      <c r="K413" s="160" t="str">
        <f>Capacity!$O$48</f>
        <v/>
      </c>
      <c r="L413" s="161" t="s">
        <v>3</v>
      </c>
      <c r="M413" s="163">
        <f>Capacity!$S$48</f>
        <v>5.2222222222222223</v>
      </c>
      <c r="N413" s="163">
        <f>Capacity!$T$48</f>
        <v>6</v>
      </c>
      <c r="O413" s="163">
        <f>Capacity!$U$48</f>
        <v>0.77777777777777768</v>
      </c>
    </row>
    <row r="414" spans="1:15" x14ac:dyDescent="0.35">
      <c r="A414" s="160" t="s">
        <v>33</v>
      </c>
      <c r="B414" s="160">
        <v>4</v>
      </c>
      <c r="C414" s="160" t="s">
        <v>43</v>
      </c>
      <c r="D414" s="160" t="s">
        <v>10</v>
      </c>
      <c r="E414" s="160">
        <f>Capacity!$G$48</f>
        <v>3</v>
      </c>
      <c r="F414" s="160">
        <f>Capacity!$J$48</f>
        <v>3</v>
      </c>
      <c r="G414" s="160">
        <f>Capacity!$K$48</f>
        <v>3</v>
      </c>
      <c r="H414" s="160" t="str">
        <f>Capacity!$L$48</f>
        <v/>
      </c>
      <c r="I414" s="160" t="str">
        <f>Capacity!$M$48</f>
        <v/>
      </c>
      <c r="J414" s="160">
        <f>Capacity!$N$48</f>
        <v>1350</v>
      </c>
      <c r="K414" s="160" t="str">
        <f>Capacity!$O$48</f>
        <v/>
      </c>
      <c r="L414" s="161" t="s">
        <v>3</v>
      </c>
      <c r="M414" s="163">
        <f>Capacity!$S$48</f>
        <v>5.2222222222222223</v>
      </c>
      <c r="N414" s="163">
        <f>Capacity!$T$48</f>
        <v>6</v>
      </c>
      <c r="O414" s="163">
        <f>Capacity!$U$48</f>
        <v>0.77777777777777768</v>
      </c>
    </row>
    <row r="415" spans="1:15" x14ac:dyDescent="0.35">
      <c r="A415" s="160" t="s">
        <v>33</v>
      </c>
      <c r="B415" s="160">
        <v>4</v>
      </c>
      <c r="C415" s="160" t="s">
        <v>43</v>
      </c>
      <c r="D415" s="160" t="s">
        <v>11</v>
      </c>
      <c r="E415" s="160">
        <f>Capacity!$H$48</f>
        <v>3</v>
      </c>
      <c r="F415" s="160">
        <f>Capacity!$J$48</f>
        <v>3</v>
      </c>
      <c r="G415" s="160">
        <f>Capacity!$K$48</f>
        <v>3</v>
      </c>
      <c r="H415" s="160" t="str">
        <f>Capacity!$L$48</f>
        <v/>
      </c>
      <c r="I415" s="160" t="str">
        <f>Capacity!$M$48</f>
        <v/>
      </c>
      <c r="J415" s="160">
        <f>Capacity!$N$48</f>
        <v>1350</v>
      </c>
      <c r="K415" s="160" t="str">
        <f>Capacity!$O$48</f>
        <v/>
      </c>
      <c r="L415" s="161" t="s">
        <v>3</v>
      </c>
      <c r="M415" s="163">
        <f>Capacity!$S$48</f>
        <v>5.2222222222222223</v>
      </c>
      <c r="N415" s="163">
        <f>Capacity!$T$48</f>
        <v>6</v>
      </c>
      <c r="O415" s="163">
        <f>Capacity!$U$48</f>
        <v>0.77777777777777768</v>
      </c>
    </row>
    <row r="416" spans="1:15" x14ac:dyDescent="0.35">
      <c r="A416" s="160" t="s">
        <v>33</v>
      </c>
      <c r="B416" s="160">
        <v>4</v>
      </c>
      <c r="C416" s="160" t="s">
        <v>43</v>
      </c>
      <c r="D416" s="160" t="s">
        <v>12</v>
      </c>
      <c r="E416" s="160">
        <f>Capacity!$I$48</f>
        <v>3</v>
      </c>
      <c r="F416" s="160">
        <f>Capacity!$J$48</f>
        <v>3</v>
      </c>
      <c r="G416" s="160">
        <f>Capacity!$K$48</f>
        <v>3</v>
      </c>
      <c r="H416" s="160" t="str">
        <f>Capacity!$L$48</f>
        <v/>
      </c>
      <c r="I416" s="160" t="str">
        <f>Capacity!$M$48</f>
        <v/>
      </c>
      <c r="J416" s="160">
        <f>Capacity!$N$48</f>
        <v>1350</v>
      </c>
      <c r="K416" s="160" t="str">
        <f>Capacity!$O$48</f>
        <v/>
      </c>
      <c r="L416" s="171" t="s">
        <v>3</v>
      </c>
      <c r="M416" s="167">
        <f>Capacity!$S$48</f>
        <v>5.2222222222222223</v>
      </c>
      <c r="N416" s="167">
        <f>Capacity!$T$48</f>
        <v>6</v>
      </c>
      <c r="O416" s="167">
        <f>Capacity!$U$48</f>
        <v>0.77777777777777768</v>
      </c>
    </row>
    <row r="417" spans="1:15" x14ac:dyDescent="0.35">
      <c r="A417" s="160" t="s">
        <v>33</v>
      </c>
      <c r="B417" s="160">
        <v>4</v>
      </c>
      <c r="C417" s="160" t="s">
        <v>43</v>
      </c>
      <c r="D417" s="160" t="s">
        <v>8</v>
      </c>
      <c r="E417" s="160">
        <f>Capacity!$E$48</f>
        <v>3</v>
      </c>
      <c r="F417" s="160">
        <f>Capacity!$J$48</f>
        <v>3</v>
      </c>
      <c r="G417" s="160">
        <f>Capacity!$K$48</f>
        <v>3</v>
      </c>
      <c r="H417" s="160" t="str">
        <f>Capacity!$L$48</f>
        <v/>
      </c>
      <c r="I417" s="160" t="str">
        <f>Capacity!$M$48</f>
        <v/>
      </c>
      <c r="J417" s="160">
        <f>Capacity!$N$48</f>
        <v>1350</v>
      </c>
      <c r="K417" s="160" t="str">
        <f>Capacity!$O$48</f>
        <v/>
      </c>
      <c r="L417" s="161" t="s">
        <v>4</v>
      </c>
      <c r="M417" s="167">
        <f>Capacity!$V$48</f>
        <v>2.6111111111111112</v>
      </c>
      <c r="N417" s="167">
        <f>Capacity!$W$48</f>
        <v>3</v>
      </c>
      <c r="O417" s="167">
        <f>Capacity!$X$48</f>
        <v>0.38888888888888884</v>
      </c>
    </row>
    <row r="418" spans="1:15" x14ac:dyDescent="0.35">
      <c r="A418" s="160" t="s">
        <v>33</v>
      </c>
      <c r="B418" s="160">
        <v>4</v>
      </c>
      <c r="C418" s="160" t="s">
        <v>43</v>
      </c>
      <c r="D418" s="160" t="s">
        <v>55</v>
      </c>
      <c r="E418" s="160">
        <f>Capacity!$F$48</f>
        <v>3</v>
      </c>
      <c r="F418" s="160">
        <f>Capacity!$J$48</f>
        <v>3</v>
      </c>
      <c r="G418" s="160">
        <f>Capacity!$K$48</f>
        <v>3</v>
      </c>
      <c r="H418" s="160" t="str">
        <f>Capacity!$L$48</f>
        <v/>
      </c>
      <c r="I418" s="160" t="str">
        <f>Capacity!$M$48</f>
        <v/>
      </c>
      <c r="J418" s="160">
        <f>Capacity!$N$48</f>
        <v>1350</v>
      </c>
      <c r="K418" s="160" t="str">
        <f>Capacity!$O$48</f>
        <v/>
      </c>
      <c r="L418" s="161" t="s">
        <v>4</v>
      </c>
      <c r="M418" s="167">
        <f>Capacity!$V$48</f>
        <v>2.6111111111111112</v>
      </c>
      <c r="N418" s="167">
        <f>Capacity!$W$48</f>
        <v>3</v>
      </c>
      <c r="O418" s="167">
        <f>Capacity!$X$48</f>
        <v>0.38888888888888884</v>
      </c>
    </row>
    <row r="419" spans="1:15" x14ac:dyDescent="0.35">
      <c r="A419" s="160" t="s">
        <v>33</v>
      </c>
      <c r="B419" s="160">
        <v>4</v>
      </c>
      <c r="C419" s="160" t="s">
        <v>43</v>
      </c>
      <c r="D419" s="160" t="s">
        <v>10</v>
      </c>
      <c r="E419" s="160">
        <f>Capacity!$G$48</f>
        <v>3</v>
      </c>
      <c r="F419" s="160">
        <f>Capacity!$J$48</f>
        <v>3</v>
      </c>
      <c r="G419" s="160">
        <f>Capacity!$K$48</f>
        <v>3</v>
      </c>
      <c r="H419" s="160" t="str">
        <f>Capacity!$L$48</f>
        <v/>
      </c>
      <c r="I419" s="160" t="str">
        <f>Capacity!$M$48</f>
        <v/>
      </c>
      <c r="J419" s="160">
        <f>Capacity!$N$48</f>
        <v>1350</v>
      </c>
      <c r="K419" s="160" t="str">
        <f>Capacity!$O$48</f>
        <v/>
      </c>
      <c r="L419" s="161" t="s">
        <v>4</v>
      </c>
      <c r="M419" s="167">
        <f>Capacity!$V$48</f>
        <v>2.6111111111111112</v>
      </c>
      <c r="N419" s="167">
        <f>Capacity!$W$48</f>
        <v>3</v>
      </c>
      <c r="O419" s="167">
        <f>Capacity!$X$48</f>
        <v>0.38888888888888884</v>
      </c>
    </row>
    <row r="420" spans="1:15" x14ac:dyDescent="0.35">
      <c r="A420" s="160" t="s">
        <v>33</v>
      </c>
      <c r="B420" s="160">
        <v>4</v>
      </c>
      <c r="C420" s="160" t="s">
        <v>43</v>
      </c>
      <c r="D420" s="160" t="s">
        <v>11</v>
      </c>
      <c r="E420" s="160">
        <f>Capacity!$H$48</f>
        <v>3</v>
      </c>
      <c r="F420" s="160">
        <f>Capacity!$J$48</f>
        <v>3</v>
      </c>
      <c r="G420" s="160">
        <f>Capacity!$K$48</f>
        <v>3</v>
      </c>
      <c r="H420" s="160" t="str">
        <f>Capacity!$L$48</f>
        <v/>
      </c>
      <c r="I420" s="160" t="str">
        <f>Capacity!$M$48</f>
        <v/>
      </c>
      <c r="J420" s="160">
        <f>Capacity!$N$48</f>
        <v>1350</v>
      </c>
      <c r="K420" s="160" t="str">
        <f>Capacity!$O$48</f>
        <v/>
      </c>
      <c r="L420" s="161" t="s">
        <v>4</v>
      </c>
      <c r="M420" s="167">
        <f>Capacity!$V$48</f>
        <v>2.6111111111111112</v>
      </c>
      <c r="N420" s="167">
        <f>Capacity!$W$48</f>
        <v>3</v>
      </c>
      <c r="O420" s="167">
        <f>Capacity!$X$48</f>
        <v>0.38888888888888884</v>
      </c>
    </row>
    <row r="421" spans="1:15" x14ac:dyDescent="0.35">
      <c r="A421" s="160" t="s">
        <v>33</v>
      </c>
      <c r="B421" s="160">
        <v>4</v>
      </c>
      <c r="C421" s="160" t="s">
        <v>43</v>
      </c>
      <c r="D421" s="160" t="s">
        <v>12</v>
      </c>
      <c r="E421" s="160">
        <f>Capacity!$I$48</f>
        <v>3</v>
      </c>
      <c r="F421" s="160">
        <f>Capacity!$J$48</f>
        <v>3</v>
      </c>
      <c r="G421" s="160">
        <f>Capacity!$K$48</f>
        <v>3</v>
      </c>
      <c r="H421" s="160" t="str">
        <f>Capacity!$L$48</f>
        <v/>
      </c>
      <c r="I421" s="160" t="str">
        <f>Capacity!$M$48</f>
        <v/>
      </c>
      <c r="J421" s="160">
        <f>Capacity!$N$48</f>
        <v>1350</v>
      </c>
      <c r="K421" s="160" t="str">
        <f>Capacity!$O$48</f>
        <v/>
      </c>
      <c r="L421" s="171" t="s">
        <v>4</v>
      </c>
      <c r="M421" s="167">
        <f>Capacity!$V$48</f>
        <v>2.6111111111111112</v>
      </c>
      <c r="N421" s="167">
        <f>Capacity!$W$48</f>
        <v>3</v>
      </c>
      <c r="O421" s="167">
        <f>Capacity!$X$48</f>
        <v>0.38888888888888884</v>
      </c>
    </row>
    <row r="422" spans="1:15" x14ac:dyDescent="0.35">
      <c r="A422" s="160" t="s">
        <v>33</v>
      </c>
      <c r="B422" s="160">
        <v>4</v>
      </c>
      <c r="C422" s="160" t="s">
        <v>43</v>
      </c>
      <c r="D422" s="160" t="s">
        <v>8</v>
      </c>
      <c r="E422" s="160">
        <f>Capacity!$E$48</f>
        <v>3</v>
      </c>
      <c r="F422" s="160">
        <f>Capacity!$J$48</f>
        <v>3</v>
      </c>
      <c r="G422" s="160">
        <f>Capacity!$K$48</f>
        <v>3</v>
      </c>
      <c r="H422" s="160" t="str">
        <f>Capacity!$L$48</f>
        <v/>
      </c>
      <c r="I422" s="160" t="str">
        <f>Capacity!$M$48</f>
        <v/>
      </c>
      <c r="J422" s="160">
        <f>Capacity!$N$48</f>
        <v>1350</v>
      </c>
      <c r="K422" s="160" t="str">
        <f>Capacity!$O$48</f>
        <v/>
      </c>
      <c r="L422" s="160" t="s">
        <v>56</v>
      </c>
      <c r="M422" s="167">
        <f>Capacity!$Y$48</f>
        <v>100</v>
      </c>
      <c r="N422" s="167">
        <f>Capacity!$Z$48</f>
        <v>114.8936170212766</v>
      </c>
      <c r="O422" s="167">
        <f>Capacity!$AA$48</f>
        <v>14.893617021276597</v>
      </c>
    </row>
    <row r="423" spans="1:15" x14ac:dyDescent="0.35">
      <c r="A423" s="160" t="s">
        <v>33</v>
      </c>
      <c r="B423" s="160">
        <v>4</v>
      </c>
      <c r="C423" s="160" t="s">
        <v>43</v>
      </c>
      <c r="D423" s="160" t="s">
        <v>55</v>
      </c>
      <c r="E423" s="160">
        <f>Capacity!$F$48</f>
        <v>3</v>
      </c>
      <c r="F423" s="160">
        <f>Capacity!$J$48</f>
        <v>3</v>
      </c>
      <c r="G423" s="160">
        <f>Capacity!$K$48</f>
        <v>3</v>
      </c>
      <c r="H423" s="160" t="str">
        <f>Capacity!$L$48</f>
        <v/>
      </c>
      <c r="I423" s="160" t="str">
        <f>Capacity!$M$48</f>
        <v/>
      </c>
      <c r="J423" s="160">
        <f>Capacity!$N$48</f>
        <v>1350</v>
      </c>
      <c r="K423" s="160" t="str">
        <f>Capacity!$O$48</f>
        <v/>
      </c>
      <c r="L423" s="160" t="s">
        <v>56</v>
      </c>
      <c r="M423" s="167">
        <f>Capacity!$Y$48</f>
        <v>100</v>
      </c>
      <c r="N423" s="167">
        <f>Capacity!$Z$48</f>
        <v>114.8936170212766</v>
      </c>
      <c r="O423" s="167">
        <f>Capacity!$AA$48</f>
        <v>14.893617021276597</v>
      </c>
    </row>
    <row r="424" spans="1:15" x14ac:dyDescent="0.35">
      <c r="A424" s="160" t="s">
        <v>33</v>
      </c>
      <c r="B424" s="160">
        <v>4</v>
      </c>
      <c r="C424" s="160" t="s">
        <v>43</v>
      </c>
      <c r="D424" s="160" t="s">
        <v>10</v>
      </c>
      <c r="E424" s="160">
        <f>Capacity!$G$48</f>
        <v>3</v>
      </c>
      <c r="F424" s="160">
        <f>Capacity!$J$48</f>
        <v>3</v>
      </c>
      <c r="G424" s="160">
        <f>Capacity!$K$48</f>
        <v>3</v>
      </c>
      <c r="H424" s="160" t="str">
        <f>Capacity!$L$48</f>
        <v/>
      </c>
      <c r="I424" s="160" t="str">
        <f>Capacity!$M$48</f>
        <v/>
      </c>
      <c r="J424" s="160">
        <f>Capacity!$N$48</f>
        <v>1350</v>
      </c>
      <c r="K424" s="160" t="str">
        <f>Capacity!$O$48</f>
        <v/>
      </c>
      <c r="L424" s="160" t="s">
        <v>56</v>
      </c>
      <c r="M424" s="167">
        <f>Capacity!$Y$48</f>
        <v>100</v>
      </c>
      <c r="N424" s="167">
        <f>Capacity!$Z$48</f>
        <v>114.8936170212766</v>
      </c>
      <c r="O424" s="167">
        <f>Capacity!$AA$48</f>
        <v>14.893617021276597</v>
      </c>
    </row>
    <row r="425" spans="1:15" x14ac:dyDescent="0.35">
      <c r="A425" s="160" t="s">
        <v>33</v>
      </c>
      <c r="B425" s="160">
        <v>4</v>
      </c>
      <c r="C425" s="160" t="s">
        <v>43</v>
      </c>
      <c r="D425" s="160" t="s">
        <v>11</v>
      </c>
      <c r="E425" s="160">
        <f>Capacity!$H$48</f>
        <v>3</v>
      </c>
      <c r="F425" s="160">
        <f>Capacity!$J$48</f>
        <v>3</v>
      </c>
      <c r="G425" s="160">
        <f>Capacity!$K$48</f>
        <v>3</v>
      </c>
      <c r="H425" s="160" t="str">
        <f>Capacity!$L$48</f>
        <v/>
      </c>
      <c r="I425" s="160" t="str">
        <f>Capacity!$M$48</f>
        <v/>
      </c>
      <c r="J425" s="160">
        <f>Capacity!$N$48</f>
        <v>1350</v>
      </c>
      <c r="K425" s="160" t="str">
        <f>Capacity!$O$48</f>
        <v/>
      </c>
      <c r="L425" s="160" t="s">
        <v>56</v>
      </c>
      <c r="M425" s="167">
        <f>Capacity!$Y$48</f>
        <v>100</v>
      </c>
      <c r="N425" s="167">
        <f>Capacity!$Z$48</f>
        <v>114.8936170212766</v>
      </c>
      <c r="O425" s="167">
        <f>Capacity!$AA$48</f>
        <v>14.893617021276597</v>
      </c>
    </row>
    <row r="426" spans="1:15" x14ac:dyDescent="0.35">
      <c r="A426" s="160" t="s">
        <v>33</v>
      </c>
      <c r="B426" s="160">
        <v>4</v>
      </c>
      <c r="C426" s="160" t="s">
        <v>43</v>
      </c>
      <c r="D426" s="160" t="s">
        <v>12</v>
      </c>
      <c r="E426" s="160">
        <f>Capacity!$I$48</f>
        <v>3</v>
      </c>
      <c r="F426" s="160">
        <f>Capacity!$J$48</f>
        <v>3</v>
      </c>
      <c r="G426" s="160">
        <f>Capacity!$K$48</f>
        <v>3</v>
      </c>
      <c r="H426" s="160" t="str">
        <f>Capacity!$L$48</f>
        <v/>
      </c>
      <c r="I426" s="160" t="str">
        <f>Capacity!$M$48</f>
        <v/>
      </c>
      <c r="J426" s="160">
        <f>Capacity!$N$48</f>
        <v>1350</v>
      </c>
      <c r="K426" s="160" t="str">
        <f>Capacity!$O$48</f>
        <v/>
      </c>
      <c r="L426" s="161" t="s">
        <v>56</v>
      </c>
      <c r="M426" s="163">
        <f>Capacity!$Y$48</f>
        <v>100</v>
      </c>
      <c r="N426" s="163">
        <f>Capacity!$Z$48</f>
        <v>114.8936170212766</v>
      </c>
      <c r="O426" s="163">
        <f>Capacity!$AA$48</f>
        <v>14.893617021276597</v>
      </c>
    </row>
  </sheetData>
  <autoFilter ref="A1:O1" xr:uid="{28B4E4F1-63B5-462B-966C-EB9442F53E9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0FDB-B5DE-4DA8-B2A7-906B56F4C3C1}">
  <dimension ref="A1:P122"/>
  <sheetViews>
    <sheetView workbookViewId="0">
      <selection activeCell="E2" sqref="E2"/>
    </sheetView>
  </sheetViews>
  <sheetFormatPr defaultRowHeight="14.5" x14ac:dyDescent="0.35"/>
  <sheetData>
    <row r="1" spans="1:16" ht="28.5" x14ac:dyDescent="0.65">
      <c r="A1" s="50"/>
      <c r="B1" s="51" t="s">
        <v>57</v>
      </c>
      <c r="C1" s="51"/>
      <c r="D1" s="51"/>
      <c r="E1" s="51"/>
      <c r="F1" s="51"/>
      <c r="G1" s="51"/>
      <c r="H1" s="51"/>
      <c r="I1" s="50"/>
      <c r="J1" s="50"/>
      <c r="K1" s="50"/>
      <c r="L1" s="50"/>
      <c r="M1" s="50"/>
      <c r="N1" s="50"/>
      <c r="O1" s="50"/>
      <c r="P1" s="50"/>
    </row>
    <row r="2" spans="1:16" ht="28.5" x14ac:dyDescent="0.65">
      <c r="A2" s="50"/>
      <c r="B2" s="51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</row>
    <row r="3" spans="1:16" x14ac:dyDescent="0.35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1:16" x14ac:dyDescent="0.35">
      <c r="A4" s="50"/>
      <c r="B4" s="50"/>
      <c r="C4" s="50"/>
      <c r="D4" s="188" t="s">
        <v>58</v>
      </c>
      <c r="E4" s="188"/>
      <c r="F4" s="188"/>
      <c r="G4" s="188"/>
      <c r="H4" s="188"/>
      <c r="I4" s="188"/>
      <c r="J4" s="188"/>
      <c r="K4" s="188"/>
      <c r="L4" s="188"/>
      <c r="M4" s="50"/>
      <c r="N4" s="50"/>
      <c r="O4" s="50"/>
      <c r="P4" s="50"/>
    </row>
    <row r="5" spans="1:16" x14ac:dyDescent="0.35">
      <c r="A5" s="50"/>
      <c r="B5" s="50"/>
      <c r="C5" s="50"/>
      <c r="D5" s="50"/>
      <c r="E5" s="50"/>
      <c r="F5" s="50"/>
      <c r="G5" s="52" t="s">
        <v>59</v>
      </c>
      <c r="H5" s="50"/>
      <c r="I5" s="50"/>
      <c r="J5" s="50"/>
      <c r="K5" s="50"/>
      <c r="L5" s="50"/>
      <c r="M5" s="50"/>
      <c r="N5" s="50"/>
      <c r="O5" s="50"/>
      <c r="P5" s="50"/>
    </row>
    <row r="6" spans="1:16" x14ac:dyDescent="0.35">
      <c r="A6" s="50"/>
      <c r="B6" s="50"/>
      <c r="C6" s="50"/>
      <c r="D6" s="50" t="s">
        <v>60</v>
      </c>
      <c r="E6" s="50" t="s">
        <v>61</v>
      </c>
      <c r="F6" s="50" t="s">
        <v>62</v>
      </c>
      <c r="G6" s="52" t="s">
        <v>63</v>
      </c>
      <c r="H6" s="53" t="s">
        <v>64</v>
      </c>
      <c r="I6" s="53" t="s">
        <v>29</v>
      </c>
      <c r="J6" s="53" t="s">
        <v>31</v>
      </c>
      <c r="K6" s="53" t="s">
        <v>32</v>
      </c>
      <c r="L6" s="53" t="s">
        <v>33</v>
      </c>
      <c r="M6" s="53" t="s">
        <v>65</v>
      </c>
      <c r="N6" s="53"/>
      <c r="O6" s="50"/>
      <c r="P6" s="53" t="s">
        <v>66</v>
      </c>
    </row>
    <row r="7" spans="1:16" x14ac:dyDescent="0.35">
      <c r="A7" s="50"/>
      <c r="B7" s="50"/>
      <c r="C7" s="50"/>
      <c r="D7" s="50"/>
      <c r="E7" s="50"/>
      <c r="F7" s="50"/>
      <c r="G7" s="52" t="s">
        <v>59</v>
      </c>
      <c r="H7" s="50"/>
      <c r="I7" s="50"/>
      <c r="J7" s="50"/>
      <c r="K7" s="50"/>
      <c r="L7" s="50"/>
      <c r="M7" s="50"/>
      <c r="N7" s="50"/>
      <c r="O7" s="50"/>
      <c r="P7" s="50"/>
    </row>
    <row r="8" spans="1:16" x14ac:dyDescent="0.35">
      <c r="A8" s="50"/>
      <c r="B8" s="189" t="s">
        <v>67</v>
      </c>
      <c r="C8" s="50"/>
      <c r="D8" s="50" t="s">
        <v>67</v>
      </c>
      <c r="E8" s="50" t="s">
        <v>68</v>
      </c>
      <c r="F8" s="50"/>
      <c r="G8" s="52">
        <v>52</v>
      </c>
      <c r="H8" s="50">
        <v>995</v>
      </c>
      <c r="I8" s="50">
        <v>1122</v>
      </c>
      <c r="J8" s="50">
        <v>1132</v>
      </c>
      <c r="K8" s="50">
        <v>1217</v>
      </c>
      <c r="L8" s="50">
        <v>1295</v>
      </c>
      <c r="M8" s="50"/>
      <c r="N8" s="50"/>
      <c r="O8" s="50"/>
      <c r="P8" s="50"/>
    </row>
    <row r="9" spans="1:16" x14ac:dyDescent="0.35">
      <c r="A9" s="50"/>
      <c r="B9" s="189"/>
      <c r="C9" s="50"/>
      <c r="D9" s="50"/>
      <c r="E9" s="50"/>
      <c r="F9" s="50"/>
      <c r="G9" s="52" t="s">
        <v>59</v>
      </c>
      <c r="H9" s="50"/>
      <c r="I9" s="50"/>
      <c r="J9" s="50"/>
      <c r="K9" s="50"/>
      <c r="L9" s="50" t="s">
        <v>69</v>
      </c>
      <c r="M9" s="50"/>
      <c r="N9" s="50"/>
      <c r="O9" s="50"/>
      <c r="P9" s="50"/>
    </row>
    <row r="10" spans="1:16" x14ac:dyDescent="0.35">
      <c r="A10" s="50"/>
      <c r="B10" s="189"/>
      <c r="C10" s="50"/>
      <c r="D10" s="50" t="s">
        <v>67</v>
      </c>
      <c r="E10" s="50" t="s">
        <v>68</v>
      </c>
      <c r="F10" s="50"/>
      <c r="G10" s="52">
        <v>53</v>
      </c>
      <c r="H10" s="50">
        <v>329</v>
      </c>
      <c r="I10" s="50">
        <v>442</v>
      </c>
      <c r="J10" s="50">
        <v>385</v>
      </c>
      <c r="K10" s="50">
        <v>395</v>
      </c>
      <c r="L10" s="50">
        <v>405</v>
      </c>
      <c r="M10" s="50"/>
      <c r="N10" s="50"/>
      <c r="O10" s="50"/>
      <c r="P10" s="50"/>
    </row>
    <row r="11" spans="1:16" x14ac:dyDescent="0.35">
      <c r="A11" s="50"/>
      <c r="B11" s="189"/>
      <c r="C11" s="50"/>
      <c r="D11" s="50" t="s">
        <v>67</v>
      </c>
      <c r="E11" s="50" t="s">
        <v>68</v>
      </c>
      <c r="F11" s="50"/>
      <c r="G11" s="52">
        <v>54</v>
      </c>
      <c r="H11" s="50">
        <v>470</v>
      </c>
      <c r="I11" s="50">
        <v>892</v>
      </c>
      <c r="J11" s="50">
        <v>1585</v>
      </c>
      <c r="K11" s="50">
        <v>2010</v>
      </c>
      <c r="L11" s="50">
        <v>2425</v>
      </c>
      <c r="M11" s="50"/>
      <c r="N11" s="50"/>
      <c r="O11" s="50"/>
      <c r="P11" s="50"/>
    </row>
    <row r="12" spans="1:16" x14ac:dyDescent="0.35">
      <c r="A12" s="50"/>
      <c r="B12" s="189"/>
      <c r="C12" s="50"/>
      <c r="D12" s="50"/>
      <c r="E12" s="50"/>
      <c r="F12" s="50"/>
      <c r="G12" s="52" t="s">
        <v>59</v>
      </c>
      <c r="H12" s="50"/>
      <c r="I12" s="50"/>
      <c r="J12" s="50"/>
      <c r="K12" s="50"/>
      <c r="L12" s="50"/>
      <c r="M12" s="50"/>
      <c r="N12" s="50"/>
      <c r="O12" s="50"/>
      <c r="P12" s="50"/>
    </row>
    <row r="13" spans="1:16" x14ac:dyDescent="0.35">
      <c r="A13" s="50"/>
      <c r="B13" s="189"/>
      <c r="C13" s="50"/>
      <c r="D13" s="50" t="s">
        <v>67</v>
      </c>
      <c r="E13" s="50" t="s">
        <v>70</v>
      </c>
      <c r="F13" s="50"/>
      <c r="G13" s="52">
        <v>52</v>
      </c>
      <c r="H13" s="50">
        <v>20</v>
      </c>
      <c r="I13" s="50">
        <v>13</v>
      </c>
      <c r="J13" s="50">
        <v>28</v>
      </c>
      <c r="K13" s="50">
        <v>28</v>
      </c>
      <c r="L13" s="50">
        <v>28</v>
      </c>
      <c r="M13" s="50"/>
      <c r="N13" s="50"/>
      <c r="O13" s="50"/>
      <c r="P13" s="50"/>
    </row>
    <row r="14" spans="1:16" x14ac:dyDescent="0.35">
      <c r="A14" s="50"/>
      <c r="B14" s="189"/>
      <c r="C14" s="50"/>
      <c r="D14" s="50" t="s">
        <v>67</v>
      </c>
      <c r="E14" s="50" t="s">
        <v>70</v>
      </c>
      <c r="F14" s="50"/>
      <c r="G14" s="52">
        <v>53</v>
      </c>
      <c r="H14" s="50">
        <v>137</v>
      </c>
      <c r="I14" s="50">
        <v>207</v>
      </c>
      <c r="J14" s="50">
        <v>168</v>
      </c>
      <c r="K14" s="50">
        <v>202</v>
      </c>
      <c r="L14" s="50">
        <v>221</v>
      </c>
      <c r="M14" s="50"/>
      <c r="N14" s="50"/>
      <c r="O14" s="50"/>
      <c r="P14" s="50"/>
    </row>
    <row r="15" spans="1:16" x14ac:dyDescent="0.35">
      <c r="A15" s="50"/>
      <c r="B15" s="189"/>
      <c r="C15" s="50"/>
      <c r="D15" s="50" t="s">
        <v>67</v>
      </c>
      <c r="E15" s="50" t="s">
        <v>70</v>
      </c>
      <c r="F15" s="50"/>
      <c r="G15" s="52">
        <v>54</v>
      </c>
      <c r="H15" s="50">
        <v>572</v>
      </c>
      <c r="I15" s="50">
        <v>705</v>
      </c>
      <c r="J15" s="50">
        <v>1071</v>
      </c>
      <c r="K15" s="50">
        <v>1344</v>
      </c>
      <c r="L15" s="50">
        <v>1569</v>
      </c>
      <c r="M15" s="50"/>
      <c r="N15" s="50"/>
      <c r="O15" s="50"/>
      <c r="P15" s="50"/>
    </row>
    <row r="16" spans="1:16" x14ac:dyDescent="0.35">
      <c r="A16" s="50"/>
      <c r="B16" s="189"/>
      <c r="C16" s="50"/>
      <c r="D16" s="50"/>
      <c r="E16" s="50"/>
      <c r="F16" s="50"/>
      <c r="G16" s="52" t="s">
        <v>59</v>
      </c>
      <c r="H16" s="50"/>
      <c r="I16" s="50"/>
      <c r="J16" s="50"/>
      <c r="K16" s="50"/>
      <c r="L16" s="50"/>
      <c r="M16" s="50"/>
      <c r="N16" s="50"/>
      <c r="O16" s="50"/>
      <c r="P16" s="50"/>
    </row>
    <row r="17" spans="1:16" x14ac:dyDescent="0.35">
      <c r="A17" s="50"/>
      <c r="B17" s="189"/>
      <c r="C17" s="50"/>
      <c r="D17" s="50" t="s">
        <v>67</v>
      </c>
      <c r="E17" s="50" t="s">
        <v>68</v>
      </c>
      <c r="F17" s="50"/>
      <c r="G17" s="52">
        <v>55</v>
      </c>
      <c r="H17" s="50">
        <v>7</v>
      </c>
      <c r="I17" s="50">
        <v>83</v>
      </c>
      <c r="J17" s="50">
        <v>208</v>
      </c>
      <c r="K17" s="50">
        <v>242</v>
      </c>
      <c r="L17" s="50">
        <v>273</v>
      </c>
      <c r="M17" s="50"/>
      <c r="N17" s="50"/>
      <c r="O17" s="50"/>
      <c r="P17" s="50"/>
    </row>
    <row r="18" spans="1:16" x14ac:dyDescent="0.35">
      <c r="A18" s="50"/>
      <c r="B18" s="189"/>
      <c r="C18" s="50"/>
      <c r="D18" s="50" t="s">
        <v>67</v>
      </c>
      <c r="E18" s="50" t="s">
        <v>70</v>
      </c>
      <c r="F18" s="50"/>
      <c r="G18" s="52">
        <v>55</v>
      </c>
      <c r="H18" s="50">
        <v>13</v>
      </c>
      <c r="I18" s="50">
        <v>131</v>
      </c>
      <c r="J18" s="50">
        <v>234</v>
      </c>
      <c r="K18" s="50">
        <v>300</v>
      </c>
      <c r="L18" s="50">
        <v>365</v>
      </c>
      <c r="M18" s="50"/>
      <c r="N18" s="50"/>
      <c r="O18" s="50"/>
      <c r="P18" s="50"/>
    </row>
    <row r="19" spans="1:16" x14ac:dyDescent="0.35">
      <c r="A19" s="50"/>
      <c r="B19" s="189"/>
      <c r="C19" s="50"/>
      <c r="D19" s="50"/>
      <c r="E19" s="50"/>
      <c r="F19" s="50"/>
      <c r="G19" s="52" t="s">
        <v>59</v>
      </c>
      <c r="H19" s="50"/>
      <c r="I19" s="50"/>
      <c r="J19" s="50"/>
      <c r="K19" s="50"/>
      <c r="L19" s="50"/>
      <c r="M19" s="50"/>
      <c r="N19" s="50"/>
      <c r="O19" s="50"/>
      <c r="P19" s="50"/>
    </row>
    <row r="20" spans="1:16" x14ac:dyDescent="0.35">
      <c r="A20" s="50"/>
      <c r="B20" s="189"/>
      <c r="C20" s="50"/>
      <c r="D20" s="50"/>
      <c r="E20" s="50"/>
      <c r="F20" s="50"/>
      <c r="G20" s="52" t="s">
        <v>59</v>
      </c>
      <c r="H20" s="50"/>
      <c r="I20" s="50"/>
      <c r="J20" s="50"/>
      <c r="K20" s="50"/>
      <c r="L20" s="50"/>
      <c r="M20" s="50"/>
      <c r="N20" s="50"/>
      <c r="O20" s="50"/>
      <c r="P20" s="50"/>
    </row>
    <row r="21" spans="1:16" x14ac:dyDescent="0.35">
      <c r="A21" s="50"/>
      <c r="B21" s="189"/>
      <c r="C21" s="50"/>
      <c r="D21" s="50" t="s">
        <v>67</v>
      </c>
      <c r="E21" s="50" t="s">
        <v>70</v>
      </c>
      <c r="F21" s="50"/>
      <c r="G21" s="52">
        <v>56</v>
      </c>
      <c r="H21" s="50">
        <v>71</v>
      </c>
      <c r="I21" s="50">
        <v>88</v>
      </c>
      <c r="J21" s="50">
        <v>81</v>
      </c>
      <c r="K21" s="50">
        <v>62</v>
      </c>
      <c r="L21" s="50">
        <v>65</v>
      </c>
      <c r="M21" s="50"/>
      <c r="N21" s="50"/>
      <c r="O21" s="50"/>
      <c r="P21" s="50"/>
    </row>
    <row r="22" spans="1:16" x14ac:dyDescent="0.35">
      <c r="A22" s="50"/>
      <c r="B22" s="189"/>
      <c r="C22" s="50"/>
      <c r="D22" s="50" t="s">
        <v>67</v>
      </c>
      <c r="E22" s="50" t="s">
        <v>70</v>
      </c>
      <c r="F22" s="50"/>
      <c r="G22" s="52">
        <v>58</v>
      </c>
      <c r="H22" s="50">
        <v>44</v>
      </c>
      <c r="I22" s="50">
        <v>71</v>
      </c>
      <c r="J22" s="50">
        <v>92</v>
      </c>
      <c r="K22" s="50">
        <v>84</v>
      </c>
      <c r="L22" s="50">
        <v>94</v>
      </c>
      <c r="M22" s="50"/>
      <c r="N22" s="50"/>
      <c r="O22" s="50"/>
      <c r="P22" s="50"/>
    </row>
    <row r="23" spans="1:16" x14ac:dyDescent="0.35">
      <c r="A23" s="50"/>
      <c r="B23" s="189"/>
      <c r="C23" s="50"/>
      <c r="D23" s="50" t="s">
        <v>67</v>
      </c>
      <c r="E23" s="50" t="s">
        <v>70</v>
      </c>
      <c r="F23" s="50"/>
      <c r="G23" s="52">
        <v>60</v>
      </c>
      <c r="H23" s="50">
        <v>19</v>
      </c>
      <c r="I23" s="50">
        <v>48</v>
      </c>
      <c r="J23" s="50">
        <v>91</v>
      </c>
      <c r="K23" s="50">
        <v>133</v>
      </c>
      <c r="L23" s="50">
        <v>142</v>
      </c>
      <c r="M23" s="50"/>
      <c r="N23" s="50"/>
      <c r="O23" s="50"/>
      <c r="P23" s="50"/>
    </row>
    <row r="24" spans="1:16" x14ac:dyDescent="0.35">
      <c r="A24" s="50"/>
      <c r="B24" s="189"/>
      <c r="C24" s="50"/>
      <c r="D24" s="50"/>
      <c r="E24" s="50"/>
      <c r="F24" s="50"/>
      <c r="G24" s="52" t="s">
        <v>59</v>
      </c>
      <c r="H24" s="50"/>
      <c r="I24" s="50"/>
      <c r="J24" s="50"/>
      <c r="K24" s="50"/>
      <c r="L24" s="50"/>
      <c r="M24" s="50"/>
      <c r="N24" s="50"/>
      <c r="O24" s="50"/>
      <c r="P24" s="50"/>
    </row>
    <row r="25" spans="1:16" x14ac:dyDescent="0.35">
      <c r="A25" s="50"/>
      <c r="B25" s="189"/>
      <c r="C25" s="50"/>
      <c r="D25" s="50"/>
      <c r="E25" s="50"/>
      <c r="F25" s="50"/>
      <c r="G25" s="52" t="s">
        <v>59</v>
      </c>
      <c r="H25" s="50"/>
      <c r="I25" s="50"/>
      <c r="J25" s="50"/>
      <c r="K25" s="50"/>
      <c r="L25" s="50"/>
      <c r="M25" s="50"/>
      <c r="N25" s="50"/>
      <c r="O25" s="50"/>
      <c r="P25" s="50"/>
    </row>
    <row r="26" spans="1:16" x14ac:dyDescent="0.35">
      <c r="A26" s="50"/>
      <c r="B26" s="189"/>
      <c r="C26" s="50"/>
      <c r="D26" s="50" t="s">
        <v>67</v>
      </c>
      <c r="E26" s="50" t="s">
        <v>70</v>
      </c>
      <c r="F26" s="50"/>
      <c r="G26" s="52" t="s">
        <v>71</v>
      </c>
      <c r="H26" s="54">
        <v>0</v>
      </c>
      <c r="I26" s="54">
        <v>0</v>
      </c>
      <c r="J26" s="54">
        <v>0</v>
      </c>
      <c r="K26" s="54">
        <v>0</v>
      </c>
      <c r="L26" s="54">
        <v>0</v>
      </c>
      <c r="M26" s="50"/>
      <c r="N26" s="50"/>
      <c r="O26" s="50"/>
      <c r="P26" s="50"/>
    </row>
    <row r="27" spans="1:16" x14ac:dyDescent="0.35">
      <c r="A27" s="50"/>
      <c r="B27" s="189"/>
      <c r="C27" s="50"/>
      <c r="D27" s="50" t="s">
        <v>67</v>
      </c>
      <c r="E27" s="50" t="s">
        <v>70</v>
      </c>
      <c r="F27" s="50"/>
      <c r="G27" s="52">
        <v>62</v>
      </c>
      <c r="H27" s="50">
        <v>2</v>
      </c>
      <c r="I27" s="50">
        <v>10</v>
      </c>
      <c r="J27" s="50">
        <v>17</v>
      </c>
      <c r="K27" s="50">
        <v>20</v>
      </c>
      <c r="L27" s="50">
        <v>25</v>
      </c>
      <c r="M27" s="50"/>
      <c r="N27" s="50"/>
      <c r="O27" s="50"/>
      <c r="P27" s="50"/>
    </row>
    <row r="28" spans="1:16" x14ac:dyDescent="0.35">
      <c r="A28" s="50"/>
      <c r="B28" s="189"/>
      <c r="C28" s="50"/>
      <c r="D28" s="50"/>
      <c r="E28" s="50"/>
      <c r="F28" s="50"/>
      <c r="G28" s="52" t="s">
        <v>59</v>
      </c>
      <c r="H28" s="50"/>
      <c r="I28" s="50"/>
      <c r="J28" s="50"/>
      <c r="K28" s="50"/>
      <c r="L28" s="50"/>
      <c r="M28" s="50"/>
      <c r="N28" s="50"/>
      <c r="O28" s="50"/>
      <c r="P28" s="50"/>
    </row>
    <row r="29" spans="1:16" x14ac:dyDescent="0.35">
      <c r="A29" s="50"/>
      <c r="B29" s="189"/>
      <c r="C29" s="50"/>
      <c r="D29" s="50"/>
      <c r="E29" s="50"/>
      <c r="F29" s="50"/>
      <c r="G29" s="52" t="s">
        <v>59</v>
      </c>
      <c r="H29" s="50"/>
      <c r="I29" s="50"/>
      <c r="J29" s="50"/>
      <c r="K29" s="50"/>
      <c r="L29" s="50"/>
      <c r="M29" s="50"/>
      <c r="N29" s="50"/>
      <c r="O29" s="50"/>
      <c r="P29" s="50"/>
    </row>
    <row r="30" spans="1:16" x14ac:dyDescent="0.35">
      <c r="A30" s="50"/>
      <c r="B30" s="50"/>
      <c r="C30" s="50"/>
      <c r="D30" s="50"/>
      <c r="E30" s="50"/>
      <c r="F30" s="50"/>
      <c r="G30" s="52" t="s">
        <v>59</v>
      </c>
      <c r="H30" s="50"/>
      <c r="I30" s="50"/>
      <c r="J30" s="50"/>
      <c r="K30" s="50"/>
      <c r="L30" s="50"/>
      <c r="M30" s="50"/>
      <c r="N30" s="50"/>
      <c r="O30" s="50"/>
      <c r="P30" s="50"/>
    </row>
    <row r="31" spans="1:16" x14ac:dyDescent="0.35">
      <c r="A31" s="50"/>
      <c r="B31" s="50"/>
      <c r="C31" s="50"/>
      <c r="D31" s="50"/>
      <c r="E31" s="50"/>
      <c r="F31" s="50"/>
      <c r="G31" s="52" t="s">
        <v>59</v>
      </c>
      <c r="H31" s="50"/>
      <c r="I31" s="50"/>
      <c r="J31" s="50"/>
      <c r="K31" s="50"/>
      <c r="L31" s="50"/>
      <c r="M31" s="50"/>
      <c r="N31" s="50"/>
      <c r="O31" s="50"/>
      <c r="P31" s="50"/>
    </row>
    <row r="32" spans="1:16" x14ac:dyDescent="0.35">
      <c r="A32" s="50"/>
      <c r="B32" s="189" t="s">
        <v>72</v>
      </c>
      <c r="C32" s="50"/>
      <c r="D32" s="50" t="s">
        <v>73</v>
      </c>
      <c r="E32" s="50" t="s">
        <v>68</v>
      </c>
      <c r="F32" s="50"/>
      <c r="G32" s="52">
        <v>52</v>
      </c>
      <c r="H32" s="50">
        <v>2711</v>
      </c>
      <c r="I32" s="50">
        <v>3710</v>
      </c>
      <c r="J32" s="50">
        <v>4056</v>
      </c>
      <c r="K32" s="50">
        <v>4413</v>
      </c>
      <c r="L32" s="50">
        <v>5420</v>
      </c>
      <c r="M32" s="50"/>
      <c r="N32" s="50"/>
      <c r="O32" s="50"/>
      <c r="P32" s="50"/>
    </row>
    <row r="33" spans="1:16" x14ac:dyDescent="0.35">
      <c r="A33" s="50"/>
      <c r="B33" s="189"/>
      <c r="C33" s="50"/>
      <c r="D33" s="50" t="s">
        <v>73</v>
      </c>
      <c r="E33" s="50" t="s">
        <v>68</v>
      </c>
      <c r="F33" s="50"/>
      <c r="G33" s="52">
        <v>53</v>
      </c>
      <c r="H33" s="50">
        <v>258</v>
      </c>
      <c r="I33" s="50">
        <v>540</v>
      </c>
      <c r="J33" s="50">
        <v>615</v>
      </c>
      <c r="K33" s="50">
        <v>750</v>
      </c>
      <c r="L33" s="50">
        <v>895</v>
      </c>
      <c r="M33" s="50"/>
      <c r="N33" s="50"/>
      <c r="O33" s="50"/>
      <c r="P33" s="50"/>
    </row>
    <row r="34" spans="1:16" x14ac:dyDescent="0.35">
      <c r="A34" s="50"/>
      <c r="B34" s="189"/>
      <c r="C34" s="50"/>
      <c r="D34" s="50" t="s">
        <v>73</v>
      </c>
      <c r="E34" s="50" t="s">
        <v>68</v>
      </c>
      <c r="F34" s="50"/>
      <c r="G34" s="52">
        <v>54</v>
      </c>
      <c r="H34" s="50">
        <v>467</v>
      </c>
      <c r="I34" s="50">
        <v>1184</v>
      </c>
      <c r="J34" s="50">
        <v>1376</v>
      </c>
      <c r="K34" s="50">
        <v>1552</v>
      </c>
      <c r="L34" s="50">
        <v>710</v>
      </c>
      <c r="M34" s="50"/>
      <c r="N34" s="50"/>
      <c r="O34" s="50"/>
      <c r="P34" s="50"/>
    </row>
    <row r="35" spans="1:16" x14ac:dyDescent="0.35">
      <c r="A35" s="50"/>
      <c r="B35" s="189"/>
      <c r="C35" s="50"/>
      <c r="D35" s="50" t="s">
        <v>73</v>
      </c>
      <c r="E35" s="50" t="s">
        <v>68</v>
      </c>
      <c r="F35" s="50" t="s">
        <v>74</v>
      </c>
      <c r="G35" s="52">
        <v>1400</v>
      </c>
      <c r="H35" s="50">
        <v>43</v>
      </c>
      <c r="I35" s="50">
        <v>44</v>
      </c>
      <c r="J35" s="50">
        <v>50</v>
      </c>
      <c r="K35" s="50">
        <v>60</v>
      </c>
      <c r="L35" s="55">
        <v>80</v>
      </c>
      <c r="M35" s="50"/>
      <c r="N35" s="50"/>
      <c r="O35" s="50"/>
      <c r="P35" s="50"/>
    </row>
    <row r="36" spans="1:16" x14ac:dyDescent="0.35">
      <c r="A36" s="50"/>
      <c r="B36" s="189"/>
      <c r="C36" s="50"/>
      <c r="D36" s="50" t="s">
        <v>73</v>
      </c>
      <c r="E36" s="50" t="s">
        <v>68</v>
      </c>
      <c r="F36" s="50" t="s">
        <v>74</v>
      </c>
      <c r="G36" s="52">
        <v>1600</v>
      </c>
      <c r="H36" s="50">
        <v>119</v>
      </c>
      <c r="I36" s="50">
        <v>206</v>
      </c>
      <c r="J36" s="50">
        <v>216</v>
      </c>
      <c r="K36" s="50">
        <v>223</v>
      </c>
      <c r="L36" s="55">
        <v>236</v>
      </c>
      <c r="M36" s="50"/>
      <c r="N36" s="50"/>
      <c r="O36" s="50"/>
      <c r="P36" s="50"/>
    </row>
    <row r="37" spans="1:16" x14ac:dyDescent="0.35">
      <c r="A37" s="50"/>
      <c r="B37" s="189"/>
      <c r="C37" s="50"/>
      <c r="D37" s="50" t="s">
        <v>73</v>
      </c>
      <c r="E37" s="50" t="s">
        <v>68</v>
      </c>
      <c r="F37" s="50" t="s">
        <v>75</v>
      </c>
      <c r="G37" s="52">
        <v>1800</v>
      </c>
      <c r="H37" s="50">
        <v>105</v>
      </c>
      <c r="I37" s="50">
        <v>297</v>
      </c>
      <c r="J37" s="50">
        <v>294</v>
      </c>
      <c r="K37" s="50">
        <v>292</v>
      </c>
      <c r="L37" s="50">
        <v>300</v>
      </c>
      <c r="M37" s="50"/>
      <c r="N37" s="50"/>
      <c r="O37" s="50"/>
      <c r="P37" s="50"/>
    </row>
    <row r="38" spans="1:16" x14ac:dyDescent="0.35">
      <c r="A38" s="50"/>
      <c r="B38" s="189"/>
      <c r="C38" s="50"/>
      <c r="D38" s="50" t="s">
        <v>73</v>
      </c>
      <c r="E38" s="50" t="s">
        <v>70</v>
      </c>
      <c r="F38" s="56" t="s">
        <v>76</v>
      </c>
      <c r="G38" s="52" t="s">
        <v>77</v>
      </c>
      <c r="H38" s="56">
        <v>116</v>
      </c>
      <c r="I38" s="56">
        <v>776</v>
      </c>
      <c r="J38" s="56">
        <v>1383</v>
      </c>
      <c r="K38" s="56">
        <v>1476</v>
      </c>
      <c r="L38" s="56">
        <v>1490</v>
      </c>
      <c r="M38" s="50"/>
      <c r="N38" s="50"/>
      <c r="O38" s="50"/>
      <c r="P38" s="50"/>
    </row>
    <row r="39" spans="1:16" x14ac:dyDescent="0.35">
      <c r="A39" s="50"/>
      <c r="B39" s="189"/>
      <c r="C39" s="50"/>
      <c r="D39" s="50" t="s">
        <v>73</v>
      </c>
      <c r="E39" s="50" t="s">
        <v>68</v>
      </c>
      <c r="F39" s="50" t="s">
        <v>78</v>
      </c>
      <c r="G39" s="52">
        <v>1800</v>
      </c>
      <c r="H39" s="50">
        <v>525</v>
      </c>
      <c r="I39" s="50">
        <v>120</v>
      </c>
      <c r="J39" s="50">
        <v>240</v>
      </c>
      <c r="K39" s="50">
        <v>280</v>
      </c>
      <c r="L39" s="50">
        <v>300</v>
      </c>
      <c r="M39" s="50"/>
      <c r="N39" s="50"/>
      <c r="O39" s="50"/>
      <c r="P39" s="50"/>
    </row>
    <row r="40" spans="1:16" x14ac:dyDescent="0.35">
      <c r="A40" s="50"/>
      <c r="B40" s="189"/>
      <c r="C40" s="50"/>
      <c r="D40" s="50"/>
      <c r="E40" s="50"/>
      <c r="F40" s="50"/>
      <c r="G40" s="52" t="s">
        <v>59</v>
      </c>
      <c r="H40" s="50"/>
      <c r="I40" s="50"/>
      <c r="J40" s="50"/>
      <c r="K40" s="50"/>
      <c r="L40" s="50"/>
      <c r="M40" s="50"/>
      <c r="N40" s="50"/>
      <c r="O40" s="50"/>
      <c r="P40" s="50"/>
    </row>
    <row r="41" spans="1:16" x14ac:dyDescent="0.35">
      <c r="A41" s="50"/>
      <c r="B41" s="189"/>
      <c r="C41" s="50"/>
      <c r="D41" s="50" t="s">
        <v>73</v>
      </c>
      <c r="E41" s="50" t="s">
        <v>70</v>
      </c>
      <c r="F41" s="50"/>
      <c r="G41" s="52">
        <v>52</v>
      </c>
      <c r="H41" s="50">
        <v>217</v>
      </c>
      <c r="I41" s="50">
        <v>497</v>
      </c>
      <c r="J41" s="50">
        <v>609</v>
      </c>
      <c r="K41" s="50">
        <v>752</v>
      </c>
      <c r="L41" s="50">
        <v>1023</v>
      </c>
      <c r="M41" s="50"/>
      <c r="N41" s="50"/>
      <c r="O41" s="50"/>
      <c r="P41" s="50"/>
    </row>
    <row r="42" spans="1:16" x14ac:dyDescent="0.35">
      <c r="A42" s="50"/>
      <c r="B42" s="189"/>
      <c r="C42" s="50"/>
      <c r="D42" s="50" t="s">
        <v>73</v>
      </c>
      <c r="E42" s="50" t="s">
        <v>70</v>
      </c>
      <c r="F42" s="50"/>
      <c r="G42" s="52">
        <v>53</v>
      </c>
      <c r="H42" s="50">
        <v>4112</v>
      </c>
      <c r="I42" s="50">
        <v>4890</v>
      </c>
      <c r="J42" s="50">
        <v>6365</v>
      </c>
      <c r="K42" s="50">
        <v>7720</v>
      </c>
      <c r="L42" s="50">
        <v>8262</v>
      </c>
      <c r="M42" s="50"/>
      <c r="N42" s="50"/>
      <c r="O42" s="50"/>
      <c r="P42" s="50"/>
    </row>
    <row r="43" spans="1:16" x14ac:dyDescent="0.35">
      <c r="A43" s="50"/>
      <c r="B43" s="189"/>
      <c r="C43" s="50"/>
      <c r="D43" s="50" t="s">
        <v>73</v>
      </c>
      <c r="E43" s="50" t="s">
        <v>70</v>
      </c>
      <c r="F43" s="50"/>
      <c r="G43" s="52">
        <v>54</v>
      </c>
      <c r="H43" s="50">
        <v>389</v>
      </c>
      <c r="I43" s="50">
        <v>650</v>
      </c>
      <c r="J43" s="50">
        <v>1055</v>
      </c>
      <c r="K43" s="50">
        <v>1260</v>
      </c>
      <c r="L43" s="50">
        <v>1135</v>
      </c>
      <c r="M43" s="50"/>
      <c r="N43" s="50"/>
      <c r="O43" s="50"/>
      <c r="P43" s="50"/>
    </row>
    <row r="44" spans="1:16" x14ac:dyDescent="0.35">
      <c r="A44" s="50"/>
      <c r="B44" s="189"/>
      <c r="C44" s="50"/>
      <c r="D44" s="50" t="s">
        <v>73</v>
      </c>
      <c r="E44" s="50" t="s">
        <v>70</v>
      </c>
      <c r="F44" s="50"/>
      <c r="G44" s="52">
        <v>55</v>
      </c>
      <c r="H44" s="50">
        <v>61</v>
      </c>
      <c r="I44" s="50">
        <v>115</v>
      </c>
      <c r="J44" s="50">
        <v>121</v>
      </c>
      <c r="K44" s="50">
        <v>127</v>
      </c>
      <c r="L44" s="50">
        <v>135</v>
      </c>
      <c r="M44" s="50"/>
      <c r="N44" s="50"/>
      <c r="O44" s="50"/>
      <c r="P44" s="50"/>
    </row>
    <row r="45" spans="1:16" x14ac:dyDescent="0.35">
      <c r="A45" s="50"/>
      <c r="B45" s="189"/>
      <c r="C45" s="50"/>
      <c r="D45" s="50" t="s">
        <v>73</v>
      </c>
      <c r="E45" s="50" t="s">
        <v>68</v>
      </c>
      <c r="F45" s="50"/>
      <c r="G45" s="52">
        <v>55</v>
      </c>
      <c r="H45" s="50">
        <v>2</v>
      </c>
      <c r="I45" s="50">
        <v>1</v>
      </c>
      <c r="J45" s="50">
        <v>1</v>
      </c>
      <c r="K45" s="50">
        <v>1</v>
      </c>
      <c r="L45" s="50">
        <v>0</v>
      </c>
      <c r="M45" s="50"/>
      <c r="N45" s="50"/>
      <c r="O45" s="50"/>
      <c r="P45" s="50"/>
    </row>
    <row r="46" spans="1:16" x14ac:dyDescent="0.35">
      <c r="A46" s="50"/>
      <c r="B46" s="189"/>
      <c r="C46" s="50"/>
      <c r="D46" s="50"/>
      <c r="E46" s="50"/>
      <c r="F46" s="50"/>
      <c r="G46" s="52" t="s">
        <v>59</v>
      </c>
      <c r="H46" s="50"/>
      <c r="I46" s="50"/>
      <c r="J46" s="50"/>
      <c r="K46" s="50"/>
      <c r="L46" s="50"/>
      <c r="M46" s="50"/>
      <c r="N46" s="50"/>
      <c r="O46" s="50"/>
      <c r="P46" s="50"/>
    </row>
    <row r="47" spans="1:16" x14ac:dyDescent="0.35">
      <c r="A47" s="50"/>
      <c r="B47" s="189"/>
      <c r="C47" s="50"/>
      <c r="D47" s="50" t="s">
        <v>73</v>
      </c>
      <c r="E47" s="50" t="s">
        <v>70</v>
      </c>
      <c r="F47" s="50"/>
      <c r="G47" s="52" t="s">
        <v>79</v>
      </c>
      <c r="H47" s="50">
        <v>130</v>
      </c>
      <c r="I47" s="50">
        <v>200</v>
      </c>
      <c r="J47" s="50">
        <v>180</v>
      </c>
      <c r="K47" s="50">
        <v>150</v>
      </c>
      <c r="L47" s="50">
        <v>149</v>
      </c>
      <c r="M47" s="50"/>
      <c r="N47" s="50"/>
      <c r="O47" s="50"/>
      <c r="P47" s="50"/>
    </row>
    <row r="48" spans="1:16" x14ac:dyDescent="0.35">
      <c r="A48" s="50"/>
      <c r="B48" s="189"/>
      <c r="C48" s="50"/>
      <c r="D48" s="50" t="s">
        <v>73</v>
      </c>
      <c r="E48" s="50" t="s">
        <v>70</v>
      </c>
      <c r="F48" s="50"/>
      <c r="G48" s="52" t="s">
        <v>80</v>
      </c>
      <c r="H48" s="50">
        <v>70</v>
      </c>
      <c r="I48" s="50">
        <v>70</v>
      </c>
      <c r="J48" s="50">
        <v>70</v>
      </c>
      <c r="K48" s="50">
        <v>70</v>
      </c>
      <c r="L48" s="50">
        <v>44</v>
      </c>
      <c r="M48" s="50"/>
      <c r="N48" s="50"/>
      <c r="O48" s="50"/>
      <c r="P48" s="50"/>
    </row>
    <row r="49" spans="1:16" x14ac:dyDescent="0.35">
      <c r="A49" s="50"/>
      <c r="B49" s="189"/>
      <c r="C49" s="50"/>
      <c r="D49" s="50"/>
      <c r="E49" s="50"/>
      <c r="F49" s="50"/>
      <c r="G49" s="52" t="s">
        <v>59</v>
      </c>
      <c r="H49" s="50"/>
      <c r="I49" s="50"/>
      <c r="J49" s="50"/>
      <c r="K49" s="50"/>
      <c r="L49" s="50"/>
      <c r="M49" s="50"/>
      <c r="N49" s="50"/>
      <c r="O49" s="50"/>
      <c r="P49" s="50"/>
    </row>
    <row r="50" spans="1:16" x14ac:dyDescent="0.35">
      <c r="A50" s="50"/>
      <c r="B50" s="189"/>
      <c r="C50" s="50"/>
      <c r="D50" s="50"/>
      <c r="E50" s="50"/>
      <c r="F50" s="50"/>
      <c r="G50" s="52" t="s">
        <v>59</v>
      </c>
      <c r="H50" s="50"/>
      <c r="I50" s="50"/>
      <c r="J50" s="50"/>
      <c r="K50" s="50"/>
      <c r="L50" s="50"/>
      <c r="M50" s="50"/>
      <c r="N50" s="50"/>
      <c r="O50" s="50"/>
      <c r="P50" s="50"/>
    </row>
    <row r="51" spans="1:16" x14ac:dyDescent="0.35">
      <c r="A51" s="50"/>
      <c r="B51" s="50"/>
      <c r="C51" s="50"/>
      <c r="D51" s="50"/>
      <c r="E51" s="50"/>
      <c r="F51" s="50"/>
      <c r="G51" s="52" t="s">
        <v>59</v>
      </c>
      <c r="H51" s="50"/>
      <c r="I51" s="50"/>
      <c r="J51" s="50"/>
      <c r="K51" s="50"/>
      <c r="L51" s="50"/>
      <c r="M51" s="50"/>
      <c r="N51" s="50"/>
      <c r="O51" s="50"/>
      <c r="P51" s="50"/>
    </row>
    <row r="52" spans="1:16" x14ac:dyDescent="0.35">
      <c r="A52" s="50"/>
      <c r="B52" s="50"/>
      <c r="C52" s="50"/>
      <c r="D52" s="50"/>
      <c r="E52" s="50"/>
      <c r="F52" s="50"/>
      <c r="G52" s="52" t="s">
        <v>59</v>
      </c>
      <c r="H52" s="50"/>
      <c r="I52" s="50"/>
      <c r="J52" s="50"/>
      <c r="K52" s="50"/>
      <c r="L52" s="50"/>
      <c r="M52" s="50"/>
      <c r="N52" s="50"/>
      <c r="O52" s="50"/>
      <c r="P52" s="50"/>
    </row>
    <row r="53" spans="1:16" x14ac:dyDescent="0.35">
      <c r="A53" s="50"/>
      <c r="B53" s="189" t="s">
        <v>81</v>
      </c>
      <c r="C53" s="50"/>
      <c r="D53" s="50" t="s">
        <v>82</v>
      </c>
      <c r="E53" s="57" t="s">
        <v>68</v>
      </c>
      <c r="F53" s="50"/>
      <c r="G53" s="58">
        <v>52.3</v>
      </c>
      <c r="H53" s="57">
        <v>250</v>
      </c>
      <c r="I53" s="57">
        <v>325</v>
      </c>
      <c r="J53" s="57">
        <v>420</v>
      </c>
      <c r="K53" s="57">
        <v>525</v>
      </c>
      <c r="L53" s="57">
        <v>600</v>
      </c>
      <c r="M53" s="50"/>
      <c r="N53" s="50"/>
      <c r="O53" s="50"/>
      <c r="P53" s="50"/>
    </row>
    <row r="54" spans="1:16" x14ac:dyDescent="0.35">
      <c r="A54" s="50"/>
      <c r="B54" s="189"/>
      <c r="C54" s="50"/>
      <c r="D54" s="50" t="s">
        <v>82</v>
      </c>
      <c r="E54" s="57" t="s">
        <v>68</v>
      </c>
      <c r="F54" s="57"/>
      <c r="G54" s="58">
        <v>53.2</v>
      </c>
      <c r="H54" s="57">
        <v>120</v>
      </c>
      <c r="I54" s="57">
        <v>400</v>
      </c>
      <c r="J54" s="57">
        <v>500</v>
      </c>
      <c r="K54" s="57">
        <v>600</v>
      </c>
      <c r="L54" s="57">
        <v>650</v>
      </c>
      <c r="M54" s="50"/>
      <c r="N54" s="50"/>
      <c r="O54" s="50"/>
      <c r="P54" s="50"/>
    </row>
    <row r="55" spans="1:16" x14ac:dyDescent="0.35">
      <c r="A55" s="50"/>
      <c r="B55" s="189"/>
      <c r="C55" s="50"/>
      <c r="D55" s="50" t="s">
        <v>82</v>
      </c>
      <c r="E55" s="57" t="s">
        <v>68</v>
      </c>
      <c r="F55" s="57"/>
      <c r="G55" s="58">
        <v>54.2</v>
      </c>
      <c r="H55" s="57">
        <v>5</v>
      </c>
      <c r="I55" s="57">
        <v>250</v>
      </c>
      <c r="J55" s="57">
        <v>475</v>
      </c>
      <c r="K55" s="57">
        <v>775</v>
      </c>
      <c r="L55" s="57">
        <v>800</v>
      </c>
      <c r="M55" s="50"/>
      <c r="N55" s="50"/>
      <c r="O55" s="50"/>
      <c r="P55" s="50"/>
    </row>
    <row r="56" spans="1:16" x14ac:dyDescent="0.35">
      <c r="A56" s="50"/>
      <c r="B56" s="189"/>
      <c r="C56" s="50"/>
      <c r="D56" s="50" t="s">
        <v>82</v>
      </c>
      <c r="E56" s="57" t="s">
        <v>68</v>
      </c>
      <c r="F56" s="57"/>
      <c r="G56" s="58" t="s">
        <v>83</v>
      </c>
      <c r="H56" s="57" t="s">
        <v>84</v>
      </c>
      <c r="I56" s="57">
        <v>25</v>
      </c>
      <c r="J56" s="57">
        <v>50</v>
      </c>
      <c r="K56" s="57">
        <v>100</v>
      </c>
      <c r="L56" s="57">
        <v>100</v>
      </c>
      <c r="M56" s="50"/>
      <c r="N56" s="50"/>
      <c r="O56" s="50"/>
      <c r="P56" s="50"/>
    </row>
    <row r="57" spans="1:16" x14ac:dyDescent="0.35">
      <c r="A57" s="50"/>
      <c r="B57" s="189"/>
      <c r="C57" s="50"/>
      <c r="D57" s="50"/>
      <c r="E57" s="50"/>
      <c r="F57" s="50"/>
      <c r="G57" s="52" t="s">
        <v>59</v>
      </c>
      <c r="H57" s="50"/>
      <c r="I57" s="50"/>
      <c r="J57" s="50"/>
      <c r="K57" s="50"/>
      <c r="L57" s="50"/>
      <c r="M57" s="50"/>
      <c r="N57" s="50"/>
      <c r="O57" s="50"/>
      <c r="P57" s="50"/>
    </row>
    <row r="58" spans="1:16" x14ac:dyDescent="0.35">
      <c r="A58" s="50"/>
      <c r="B58" s="189"/>
      <c r="C58" s="50"/>
      <c r="D58" s="50" t="s">
        <v>82</v>
      </c>
      <c r="E58" s="57" t="s">
        <v>68</v>
      </c>
      <c r="F58" s="57" t="s">
        <v>76</v>
      </c>
      <c r="G58" s="58" t="s">
        <v>85</v>
      </c>
      <c r="H58" s="57">
        <v>250</v>
      </c>
      <c r="I58" s="59">
        <v>1200</v>
      </c>
      <c r="J58" s="59">
        <v>1800</v>
      </c>
      <c r="K58" s="59">
        <v>1800</v>
      </c>
      <c r="L58" s="59">
        <v>1800</v>
      </c>
      <c r="M58" s="50"/>
      <c r="N58" s="50"/>
      <c r="O58" s="50"/>
      <c r="P58" s="50"/>
    </row>
    <row r="59" spans="1:16" x14ac:dyDescent="0.35">
      <c r="A59" s="50"/>
      <c r="B59" s="189"/>
      <c r="C59" s="50"/>
      <c r="D59" s="50"/>
      <c r="E59" s="50"/>
      <c r="F59" s="50"/>
      <c r="G59" s="52" t="s">
        <v>59</v>
      </c>
      <c r="H59" s="50"/>
      <c r="I59" s="50"/>
      <c r="J59" s="50"/>
      <c r="K59" s="50"/>
      <c r="L59" s="50"/>
      <c r="M59" s="50"/>
      <c r="N59" s="50"/>
      <c r="O59" s="50"/>
      <c r="P59" s="50"/>
    </row>
    <row r="60" spans="1:16" x14ac:dyDescent="0.35">
      <c r="A60" s="50"/>
      <c r="B60" s="189"/>
      <c r="C60" s="50"/>
      <c r="D60" s="50" t="s">
        <v>82</v>
      </c>
      <c r="E60" s="57" t="s">
        <v>70</v>
      </c>
      <c r="F60" s="50"/>
      <c r="G60" s="58">
        <v>52.3</v>
      </c>
      <c r="H60" s="57">
        <v>5</v>
      </c>
      <c r="I60" s="57">
        <v>5</v>
      </c>
      <c r="J60" s="57">
        <v>5</v>
      </c>
      <c r="K60" s="57">
        <v>10</v>
      </c>
      <c r="L60" s="57">
        <v>10</v>
      </c>
      <c r="M60" s="50"/>
      <c r="N60" s="50"/>
      <c r="O60" s="50"/>
      <c r="P60" s="50"/>
    </row>
    <row r="61" spans="1:16" x14ac:dyDescent="0.35">
      <c r="A61" s="50"/>
      <c r="B61" s="189"/>
      <c r="C61" s="50"/>
      <c r="D61" s="50" t="s">
        <v>82</v>
      </c>
      <c r="E61" s="57" t="s">
        <v>70</v>
      </c>
      <c r="F61" s="57"/>
      <c r="G61" s="58">
        <v>53.2</v>
      </c>
      <c r="H61" s="57">
        <v>260</v>
      </c>
      <c r="I61" s="57">
        <v>370</v>
      </c>
      <c r="J61" s="57">
        <v>250</v>
      </c>
      <c r="K61" s="57">
        <v>290</v>
      </c>
      <c r="L61" s="57">
        <v>365</v>
      </c>
      <c r="M61" s="50"/>
      <c r="N61" s="50"/>
      <c r="O61" s="50"/>
      <c r="P61" s="50"/>
    </row>
    <row r="62" spans="1:16" x14ac:dyDescent="0.35">
      <c r="A62" s="50"/>
      <c r="B62" s="189"/>
      <c r="C62" s="50"/>
      <c r="D62" s="50" t="s">
        <v>82</v>
      </c>
      <c r="E62" s="57" t="s">
        <v>70</v>
      </c>
      <c r="F62" s="57"/>
      <c r="G62" s="58" t="s">
        <v>86</v>
      </c>
      <c r="H62" s="57">
        <v>115</v>
      </c>
      <c r="I62" s="57">
        <v>125</v>
      </c>
      <c r="J62" s="57">
        <v>150</v>
      </c>
      <c r="K62" s="57">
        <v>200</v>
      </c>
      <c r="L62" s="57">
        <v>225</v>
      </c>
      <c r="M62" s="50"/>
      <c r="N62" s="50"/>
      <c r="O62" s="50"/>
      <c r="P62" s="50"/>
    </row>
    <row r="63" spans="1:16" x14ac:dyDescent="0.35">
      <c r="A63" s="50"/>
      <c r="B63" s="189"/>
      <c r="C63" s="50"/>
      <c r="D63" s="50" t="s">
        <v>82</v>
      </c>
      <c r="E63" s="57" t="s">
        <v>70</v>
      </c>
      <c r="F63" s="57"/>
      <c r="G63" s="58" t="s">
        <v>77</v>
      </c>
      <c r="H63" s="57" t="s">
        <v>87</v>
      </c>
      <c r="I63" s="57">
        <v>25</v>
      </c>
      <c r="J63" s="57">
        <v>150</v>
      </c>
      <c r="K63" s="57">
        <v>300</v>
      </c>
      <c r="L63" s="57">
        <v>600</v>
      </c>
      <c r="M63" s="50"/>
      <c r="N63" s="50"/>
      <c r="O63" s="50"/>
      <c r="P63" s="50"/>
    </row>
    <row r="64" spans="1:16" x14ac:dyDescent="0.35">
      <c r="A64" s="50"/>
      <c r="B64" s="189"/>
      <c r="C64" s="50"/>
      <c r="D64" s="50"/>
      <c r="E64" s="50"/>
      <c r="F64" s="50" t="s">
        <v>88</v>
      </c>
      <c r="G64" s="52">
        <v>56</v>
      </c>
      <c r="H64" s="50"/>
      <c r="I64" s="50"/>
      <c r="J64" s="50"/>
      <c r="K64" s="50"/>
      <c r="L64" s="50"/>
      <c r="M64" s="50"/>
      <c r="N64" s="50"/>
      <c r="O64" s="50"/>
      <c r="P64" s="50"/>
    </row>
    <row r="65" spans="1:16" x14ac:dyDescent="0.35">
      <c r="A65" s="50"/>
      <c r="B65" s="189"/>
      <c r="C65" s="50"/>
      <c r="D65" s="50"/>
      <c r="E65" s="50"/>
      <c r="F65" s="50" t="s">
        <v>88</v>
      </c>
      <c r="G65" s="52">
        <v>58</v>
      </c>
      <c r="H65" s="50"/>
      <c r="I65" s="50"/>
      <c r="J65" s="50"/>
      <c r="K65" s="50"/>
      <c r="L65" s="50"/>
      <c r="M65" s="50"/>
      <c r="N65" s="50"/>
      <c r="O65" s="50"/>
      <c r="P65" s="50"/>
    </row>
    <row r="66" spans="1:16" x14ac:dyDescent="0.35">
      <c r="A66" s="50"/>
      <c r="B66" s="50"/>
      <c r="C66" s="50"/>
      <c r="D66" s="50"/>
      <c r="E66" s="50"/>
      <c r="F66" s="50"/>
      <c r="G66" s="52" t="s">
        <v>59</v>
      </c>
      <c r="H66" s="50"/>
      <c r="I66" s="50"/>
      <c r="J66" s="50"/>
      <c r="K66" s="50"/>
      <c r="L66" s="50"/>
      <c r="M66" s="50"/>
      <c r="N66" s="50"/>
      <c r="O66" s="50"/>
      <c r="P66" s="50"/>
    </row>
    <row r="67" spans="1:16" x14ac:dyDescent="0.35">
      <c r="A67" s="50"/>
      <c r="B67" s="50"/>
      <c r="C67" s="50"/>
      <c r="D67" s="50"/>
      <c r="E67" s="50"/>
      <c r="F67" s="50"/>
      <c r="G67" s="52" t="s">
        <v>59</v>
      </c>
      <c r="H67" s="50"/>
      <c r="I67" s="50"/>
      <c r="J67" s="50"/>
      <c r="K67" s="50"/>
      <c r="L67" s="50"/>
      <c r="M67" s="50"/>
      <c r="N67" s="50"/>
      <c r="O67" s="50"/>
      <c r="P67" s="50"/>
    </row>
    <row r="68" spans="1:16" x14ac:dyDescent="0.35">
      <c r="A68" s="50"/>
      <c r="B68" s="189" t="s">
        <v>89</v>
      </c>
      <c r="C68" s="190" t="s">
        <v>90</v>
      </c>
      <c r="D68" s="50" t="s">
        <v>76</v>
      </c>
      <c r="E68" s="50" t="s">
        <v>68</v>
      </c>
      <c r="F68" s="50" t="s">
        <v>74</v>
      </c>
      <c r="G68" s="52" t="s">
        <v>85</v>
      </c>
      <c r="H68" s="60">
        <v>720</v>
      </c>
      <c r="I68" s="60">
        <v>432</v>
      </c>
      <c r="J68" s="61">
        <v>1480</v>
      </c>
      <c r="K68" s="61">
        <v>1602</v>
      </c>
      <c r="L68" s="61">
        <v>1696</v>
      </c>
      <c r="M68" s="61">
        <v>1883</v>
      </c>
      <c r="N68" s="50"/>
      <c r="O68" s="50"/>
      <c r="P68" s="50"/>
    </row>
    <row r="69" spans="1:16" x14ac:dyDescent="0.35">
      <c r="A69" s="50"/>
      <c r="B69" s="189"/>
      <c r="C69" s="190"/>
      <c r="D69" s="50" t="s">
        <v>76</v>
      </c>
      <c r="E69" s="50" t="s">
        <v>68</v>
      </c>
      <c r="F69" s="50" t="s">
        <v>91</v>
      </c>
      <c r="G69" s="52" t="s">
        <v>92</v>
      </c>
      <c r="H69" s="50" t="s">
        <v>84</v>
      </c>
      <c r="I69" s="50" t="s">
        <v>93</v>
      </c>
      <c r="J69" s="50" t="s">
        <v>93</v>
      </c>
      <c r="K69" s="50" t="s">
        <v>93</v>
      </c>
      <c r="L69" s="50" t="s">
        <v>93</v>
      </c>
      <c r="M69" s="50"/>
      <c r="N69" s="50"/>
      <c r="O69" s="50"/>
      <c r="P69" s="50"/>
    </row>
    <row r="70" spans="1:16" x14ac:dyDescent="0.35">
      <c r="A70" s="50"/>
      <c r="B70" s="189"/>
      <c r="C70" s="190"/>
      <c r="D70" s="50"/>
      <c r="E70" s="50"/>
      <c r="F70" s="50"/>
      <c r="G70" s="52" t="s">
        <v>59</v>
      </c>
      <c r="H70" s="50"/>
      <c r="I70" s="50"/>
      <c r="J70" s="50"/>
      <c r="K70" s="50"/>
      <c r="L70" s="50"/>
      <c r="M70" s="50"/>
      <c r="N70" s="50"/>
      <c r="O70" s="50"/>
      <c r="P70" s="50"/>
    </row>
    <row r="71" spans="1:16" x14ac:dyDescent="0.35">
      <c r="A71" s="50"/>
      <c r="B71" s="189"/>
      <c r="C71" s="190"/>
      <c r="D71" s="50"/>
      <c r="E71" s="50"/>
      <c r="F71" s="50"/>
      <c r="G71" s="52" t="s">
        <v>59</v>
      </c>
      <c r="H71" s="50"/>
      <c r="I71" s="50"/>
      <c r="J71" s="50"/>
      <c r="K71" s="50"/>
      <c r="L71" s="50"/>
      <c r="M71" s="50"/>
      <c r="N71" s="50"/>
      <c r="O71" s="50"/>
      <c r="P71" s="50"/>
    </row>
    <row r="72" spans="1:16" x14ac:dyDescent="0.35">
      <c r="A72" s="50"/>
      <c r="B72" s="189"/>
      <c r="C72" s="190"/>
      <c r="D72" s="50" t="s">
        <v>76</v>
      </c>
      <c r="E72" s="50" t="s">
        <v>68</v>
      </c>
      <c r="F72" s="50" t="s">
        <v>91</v>
      </c>
      <c r="G72" s="52">
        <v>641</v>
      </c>
      <c r="H72" s="60">
        <v>46</v>
      </c>
      <c r="I72" s="60">
        <v>73</v>
      </c>
      <c r="J72" s="60">
        <v>79</v>
      </c>
      <c r="K72" s="60">
        <v>93</v>
      </c>
      <c r="L72" s="60">
        <v>101</v>
      </c>
      <c r="M72" s="60">
        <v>108</v>
      </c>
      <c r="N72" s="50"/>
      <c r="O72" s="50"/>
      <c r="P72" s="50"/>
    </row>
    <row r="73" spans="1:16" x14ac:dyDescent="0.35">
      <c r="A73" s="50"/>
      <c r="B73" s="189"/>
      <c r="C73" s="190"/>
      <c r="D73" s="50" t="s">
        <v>76</v>
      </c>
      <c r="E73" s="50" t="s">
        <v>68</v>
      </c>
      <c r="F73" s="50" t="s">
        <v>94</v>
      </c>
      <c r="G73" s="52">
        <v>641</v>
      </c>
      <c r="H73" s="60">
        <v>297</v>
      </c>
      <c r="I73" s="60">
        <v>123</v>
      </c>
      <c r="J73" s="60">
        <v>196</v>
      </c>
      <c r="K73" s="60">
        <v>210</v>
      </c>
      <c r="L73" s="60">
        <v>233</v>
      </c>
      <c r="M73" s="60">
        <v>267</v>
      </c>
      <c r="N73" s="50"/>
      <c r="O73" s="50"/>
      <c r="P73" s="50"/>
    </row>
    <row r="74" spans="1:16" x14ac:dyDescent="0.35">
      <c r="A74" s="50"/>
      <c r="B74" s="189"/>
      <c r="C74" s="190"/>
      <c r="D74" s="50" t="s">
        <v>76</v>
      </c>
      <c r="E74" s="50" t="s">
        <v>68</v>
      </c>
      <c r="F74" s="50" t="s">
        <v>95</v>
      </c>
      <c r="G74" s="52">
        <v>641</v>
      </c>
      <c r="H74" s="60">
        <v>36</v>
      </c>
      <c r="I74" s="60">
        <v>28</v>
      </c>
      <c r="J74" s="60">
        <v>35</v>
      </c>
      <c r="K74" s="60">
        <v>40</v>
      </c>
      <c r="L74" s="60">
        <v>45</v>
      </c>
      <c r="M74" s="60">
        <v>50</v>
      </c>
      <c r="N74" s="50"/>
      <c r="O74" s="50"/>
      <c r="P74" s="50"/>
    </row>
    <row r="75" spans="1:16" x14ac:dyDescent="0.35">
      <c r="A75" s="50"/>
      <c r="B75" s="189"/>
      <c r="C75" s="190"/>
      <c r="D75" s="50" t="s">
        <v>76</v>
      </c>
      <c r="E75" s="50" t="s">
        <v>68</v>
      </c>
      <c r="F75" s="50" t="s">
        <v>95</v>
      </c>
      <c r="G75" s="52">
        <v>661</v>
      </c>
      <c r="H75" s="60">
        <v>37</v>
      </c>
      <c r="I75" s="60">
        <v>60</v>
      </c>
      <c r="J75" s="60">
        <v>70</v>
      </c>
      <c r="K75" s="60">
        <v>80</v>
      </c>
      <c r="L75" s="60">
        <v>90</v>
      </c>
      <c r="M75" s="60">
        <v>100</v>
      </c>
      <c r="N75" s="50"/>
      <c r="O75" s="50"/>
      <c r="P75" s="50"/>
    </row>
    <row r="76" spans="1:16" x14ac:dyDescent="0.35">
      <c r="A76" s="50"/>
      <c r="B76" s="189"/>
      <c r="C76" s="190"/>
      <c r="D76" s="50" t="s">
        <v>76</v>
      </c>
      <c r="E76" s="50" t="s">
        <v>68</v>
      </c>
      <c r="F76" s="50" t="s">
        <v>74</v>
      </c>
      <c r="G76" s="52">
        <v>1600</v>
      </c>
      <c r="H76" s="60">
        <v>718</v>
      </c>
      <c r="I76" s="61">
        <v>1343</v>
      </c>
      <c r="J76" s="60">
        <v>965</v>
      </c>
      <c r="K76" s="61">
        <v>1037</v>
      </c>
      <c r="L76" s="61">
        <v>1098</v>
      </c>
      <c r="M76" s="61">
        <v>1219</v>
      </c>
      <c r="N76" s="50"/>
      <c r="O76" s="50"/>
      <c r="P76" s="50"/>
    </row>
    <row r="77" spans="1:16" x14ac:dyDescent="0.35">
      <c r="A77" s="50"/>
      <c r="B77" s="189"/>
      <c r="C77" s="190"/>
      <c r="D77" s="50"/>
      <c r="E77" s="50"/>
      <c r="F77" s="50"/>
      <c r="G77" s="52" t="s">
        <v>59</v>
      </c>
      <c r="H77" s="50"/>
      <c r="I77" s="50"/>
      <c r="J77" s="50"/>
      <c r="K77" s="50"/>
      <c r="L77" s="50"/>
      <c r="M77" s="50"/>
      <c r="N77" s="50"/>
      <c r="O77" s="50"/>
      <c r="P77" s="50"/>
    </row>
    <row r="78" spans="1:16" x14ac:dyDescent="0.35">
      <c r="A78" s="50"/>
      <c r="B78" s="189"/>
      <c r="C78" s="190"/>
      <c r="D78" s="50" t="s">
        <v>76</v>
      </c>
      <c r="E78" s="50" t="s">
        <v>68</v>
      </c>
      <c r="F78" s="50" t="s">
        <v>74</v>
      </c>
      <c r="G78" s="52" t="s">
        <v>96</v>
      </c>
      <c r="H78" s="60">
        <v>4024</v>
      </c>
      <c r="I78" s="60">
        <v>5117</v>
      </c>
      <c r="J78" s="60">
        <v>6916</v>
      </c>
      <c r="K78" s="60">
        <v>11604</v>
      </c>
      <c r="L78" s="60">
        <v>12630</v>
      </c>
      <c r="M78" s="60">
        <v>13008</v>
      </c>
      <c r="N78" s="50"/>
      <c r="O78" s="50"/>
      <c r="P78" s="50"/>
    </row>
    <row r="79" spans="1:16" x14ac:dyDescent="0.35">
      <c r="A79" s="50"/>
      <c r="B79" s="189"/>
      <c r="C79" s="190"/>
      <c r="D79" s="50"/>
      <c r="E79" s="50"/>
      <c r="F79" s="50"/>
      <c r="G79" s="52" t="s">
        <v>97</v>
      </c>
      <c r="H79" s="62">
        <v>5878</v>
      </c>
      <c r="I79" s="62">
        <v>7176</v>
      </c>
      <c r="J79" s="62">
        <v>9741</v>
      </c>
      <c r="K79" s="62">
        <v>14666</v>
      </c>
      <c r="L79" s="62">
        <v>15893</v>
      </c>
      <c r="M79" s="62">
        <v>16635</v>
      </c>
      <c r="N79" s="50"/>
      <c r="O79" s="50"/>
      <c r="P79" s="50"/>
    </row>
    <row r="80" spans="1:16" x14ac:dyDescent="0.35">
      <c r="A80" s="50"/>
      <c r="B80" s="189"/>
      <c r="C80" s="50"/>
      <c r="D80" s="50"/>
      <c r="E80" s="50"/>
      <c r="F80" s="50"/>
      <c r="G80" s="52" t="s">
        <v>59</v>
      </c>
      <c r="H80" s="50">
        <v>342</v>
      </c>
      <c r="I80" s="50">
        <v>435</v>
      </c>
      <c r="J80" s="50">
        <v>589</v>
      </c>
      <c r="K80" s="50">
        <v>988</v>
      </c>
      <c r="L80" s="50">
        <v>1075</v>
      </c>
      <c r="M80" s="50">
        <v>1107</v>
      </c>
      <c r="N80" s="50" t="s">
        <v>98</v>
      </c>
      <c r="O80" s="50"/>
      <c r="P80" s="50"/>
    </row>
    <row r="81" spans="1:16" x14ac:dyDescent="0.35">
      <c r="A81" s="50"/>
      <c r="B81" s="189"/>
      <c r="C81" s="50"/>
      <c r="D81" s="50"/>
      <c r="E81" s="50"/>
      <c r="F81" s="50"/>
      <c r="G81" s="52" t="s">
        <v>59</v>
      </c>
      <c r="H81" s="50"/>
      <c r="I81" s="50"/>
      <c r="J81" s="50"/>
      <c r="K81" s="50"/>
      <c r="L81" s="50"/>
      <c r="M81" s="50"/>
      <c r="N81" s="50"/>
      <c r="O81" s="50"/>
      <c r="P81" s="50"/>
    </row>
    <row r="82" spans="1:16" x14ac:dyDescent="0.35">
      <c r="A82" s="50"/>
      <c r="B82" s="189"/>
      <c r="C82" s="50"/>
      <c r="D82" s="50"/>
      <c r="E82" s="50"/>
      <c r="F82" s="50"/>
      <c r="G82" s="52" t="s">
        <v>59</v>
      </c>
      <c r="H82" s="50"/>
      <c r="I82" s="50"/>
      <c r="J82" s="50"/>
      <c r="K82" s="50"/>
      <c r="L82" s="50"/>
      <c r="M82" s="50"/>
      <c r="N82" s="50"/>
      <c r="O82" s="50"/>
      <c r="P82" s="50"/>
    </row>
    <row r="83" spans="1:16" x14ac:dyDescent="0.35">
      <c r="A83" s="50"/>
      <c r="B83" s="189"/>
      <c r="C83" s="50"/>
      <c r="D83" s="50"/>
      <c r="E83" s="50"/>
      <c r="F83" s="50"/>
      <c r="G83" s="52" t="s">
        <v>59</v>
      </c>
      <c r="H83" s="50"/>
      <c r="I83" s="50"/>
      <c r="J83" s="50"/>
      <c r="K83" s="50"/>
      <c r="L83" s="50"/>
      <c r="M83" s="50"/>
      <c r="N83" s="50"/>
      <c r="O83" s="50"/>
      <c r="P83" s="50"/>
    </row>
    <row r="84" spans="1:16" x14ac:dyDescent="0.35">
      <c r="A84" s="50"/>
      <c r="B84" s="189"/>
      <c r="C84" s="50"/>
      <c r="D84" s="50"/>
      <c r="E84" s="50"/>
      <c r="F84" s="50"/>
      <c r="G84" s="52" t="s">
        <v>59</v>
      </c>
      <c r="H84" s="50"/>
      <c r="I84" s="50"/>
      <c r="J84" s="50"/>
      <c r="K84" s="50"/>
      <c r="L84" s="50"/>
      <c r="M84" s="50"/>
      <c r="N84" s="50"/>
      <c r="O84" s="50"/>
      <c r="P84" s="50"/>
    </row>
    <row r="85" spans="1:16" x14ac:dyDescent="0.35">
      <c r="A85" s="50"/>
      <c r="B85" s="189"/>
      <c r="C85" s="50"/>
      <c r="D85" s="50"/>
      <c r="E85" s="50"/>
      <c r="F85" s="50"/>
      <c r="G85" s="52" t="s">
        <v>59</v>
      </c>
      <c r="H85" s="50"/>
      <c r="I85" s="50"/>
      <c r="J85" s="50"/>
      <c r="K85" s="50"/>
      <c r="L85" s="50"/>
      <c r="M85" s="50"/>
      <c r="N85" s="50"/>
      <c r="O85" s="50"/>
      <c r="P85" s="50"/>
    </row>
    <row r="86" spans="1:16" x14ac:dyDescent="0.35">
      <c r="A86" s="50"/>
      <c r="B86" s="189"/>
      <c r="C86" s="191" t="s">
        <v>99</v>
      </c>
      <c r="D86" s="50" t="s">
        <v>76</v>
      </c>
      <c r="E86" s="50" t="s">
        <v>68</v>
      </c>
      <c r="F86" s="50" t="s">
        <v>91</v>
      </c>
      <c r="G86" s="52">
        <v>841</v>
      </c>
      <c r="H86" s="60">
        <v>155</v>
      </c>
      <c r="I86" s="60">
        <v>147</v>
      </c>
      <c r="J86" s="60">
        <v>223</v>
      </c>
      <c r="K86" s="60">
        <v>260</v>
      </c>
      <c r="L86" s="60">
        <v>276</v>
      </c>
      <c r="M86" s="60">
        <v>307</v>
      </c>
      <c r="N86" s="50"/>
      <c r="O86" s="50"/>
      <c r="P86" s="50"/>
    </row>
    <row r="87" spans="1:16" x14ac:dyDescent="0.35">
      <c r="A87" s="50"/>
      <c r="B87" s="189"/>
      <c r="C87" s="191"/>
      <c r="D87" s="50" t="s">
        <v>76</v>
      </c>
      <c r="E87" s="50" t="s">
        <v>68</v>
      </c>
      <c r="F87" s="50" t="s">
        <v>94</v>
      </c>
      <c r="G87" s="52">
        <v>841</v>
      </c>
      <c r="H87" s="60">
        <v>472</v>
      </c>
      <c r="I87" s="60">
        <v>1098</v>
      </c>
      <c r="J87" s="60">
        <v>2100</v>
      </c>
      <c r="K87" s="60">
        <v>2250</v>
      </c>
      <c r="L87" s="60">
        <v>2498</v>
      </c>
      <c r="M87" s="60">
        <v>2865</v>
      </c>
      <c r="N87" s="50"/>
      <c r="O87" s="50"/>
      <c r="P87" s="50"/>
    </row>
    <row r="88" spans="1:16" x14ac:dyDescent="0.35">
      <c r="A88" s="50"/>
      <c r="B88" s="189"/>
      <c r="C88" s="191"/>
      <c r="D88" s="50" t="s">
        <v>76</v>
      </c>
      <c r="E88" s="50" t="s">
        <v>68</v>
      </c>
      <c r="F88" s="50" t="s">
        <v>100</v>
      </c>
      <c r="G88" s="52">
        <v>841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/>
      <c r="O88" s="50"/>
      <c r="P88" s="50"/>
    </row>
    <row r="89" spans="1:16" x14ac:dyDescent="0.35">
      <c r="A89" s="50"/>
      <c r="B89" s="189"/>
      <c r="C89" s="191"/>
      <c r="D89" s="50" t="s">
        <v>76</v>
      </c>
      <c r="E89" s="50" t="s">
        <v>68</v>
      </c>
      <c r="F89" s="50" t="s">
        <v>74</v>
      </c>
      <c r="G89" s="52">
        <v>941</v>
      </c>
      <c r="H89" s="60">
        <v>6</v>
      </c>
      <c r="I89" s="60">
        <v>9</v>
      </c>
      <c r="J89" s="60">
        <v>21</v>
      </c>
      <c r="K89" s="60">
        <v>47</v>
      </c>
      <c r="L89" s="60">
        <v>50</v>
      </c>
      <c r="M89" s="60">
        <v>56</v>
      </c>
      <c r="N89" s="50"/>
      <c r="O89" s="50"/>
      <c r="P89" s="50"/>
    </row>
    <row r="90" spans="1:16" x14ac:dyDescent="0.35">
      <c r="A90" s="50"/>
      <c r="B90" s="189"/>
      <c r="C90" s="191"/>
      <c r="D90" s="50" t="s">
        <v>76</v>
      </c>
      <c r="E90" s="50" t="s">
        <v>68</v>
      </c>
      <c r="F90" s="50" t="s">
        <v>94</v>
      </c>
      <c r="G90" s="52">
        <v>941</v>
      </c>
      <c r="H90" s="60">
        <v>195</v>
      </c>
      <c r="I90" s="60">
        <v>281</v>
      </c>
      <c r="J90" s="60">
        <v>200</v>
      </c>
      <c r="K90" s="60">
        <v>214</v>
      </c>
      <c r="L90" s="60">
        <v>238</v>
      </c>
      <c r="M90" s="60">
        <v>273</v>
      </c>
      <c r="N90" s="50"/>
      <c r="O90" s="50"/>
      <c r="P90" s="50"/>
    </row>
    <row r="91" spans="1:16" x14ac:dyDescent="0.35">
      <c r="A91" s="50"/>
      <c r="B91" s="189"/>
      <c r="C91" s="191"/>
      <c r="D91" s="50" t="s">
        <v>76</v>
      </c>
      <c r="E91" s="50" t="s">
        <v>68</v>
      </c>
      <c r="F91" s="50" t="s">
        <v>91</v>
      </c>
      <c r="G91" s="52">
        <v>941</v>
      </c>
      <c r="H91" s="60">
        <v>114</v>
      </c>
      <c r="I91" s="60">
        <v>177</v>
      </c>
      <c r="J91" s="60">
        <v>161</v>
      </c>
      <c r="K91" s="60">
        <v>212</v>
      </c>
      <c r="L91" s="60">
        <v>228</v>
      </c>
      <c r="M91" s="60">
        <v>255</v>
      </c>
      <c r="N91" s="50"/>
      <c r="O91" s="50"/>
      <c r="P91" s="50"/>
    </row>
    <row r="92" spans="1:16" x14ac:dyDescent="0.35">
      <c r="A92" s="50"/>
      <c r="B92" s="189"/>
      <c r="C92" s="191"/>
      <c r="D92" s="50" t="s">
        <v>76</v>
      </c>
      <c r="E92" s="50" t="s">
        <v>68</v>
      </c>
      <c r="F92" s="50" t="s">
        <v>101</v>
      </c>
      <c r="G92" s="52" t="s">
        <v>102</v>
      </c>
      <c r="H92" s="54" t="s">
        <v>84</v>
      </c>
      <c r="I92" s="54">
        <v>50</v>
      </c>
      <c r="J92" s="54">
        <v>800</v>
      </c>
      <c r="K92" s="54">
        <v>900</v>
      </c>
      <c r="L92" s="63">
        <v>1000</v>
      </c>
      <c r="M92" s="54">
        <v>1000</v>
      </c>
      <c r="N92" s="50"/>
      <c r="O92" s="50"/>
      <c r="P92" s="50"/>
    </row>
    <row r="93" spans="1:16" x14ac:dyDescent="0.35">
      <c r="A93" s="50"/>
      <c r="B93" s="189"/>
      <c r="C93" s="191"/>
      <c r="D93" s="50" t="s">
        <v>76</v>
      </c>
      <c r="E93" s="50" t="s">
        <v>70</v>
      </c>
      <c r="F93" s="50" t="s">
        <v>74</v>
      </c>
      <c r="G93" s="52">
        <v>2700</v>
      </c>
      <c r="H93" s="60">
        <v>41</v>
      </c>
      <c r="I93" s="60">
        <v>45</v>
      </c>
      <c r="J93" s="60">
        <v>50</v>
      </c>
      <c r="K93" s="60">
        <v>55</v>
      </c>
      <c r="L93" s="60">
        <v>60</v>
      </c>
      <c r="M93" s="60">
        <v>65</v>
      </c>
      <c r="N93" s="50"/>
      <c r="O93" s="50"/>
      <c r="P93" s="50"/>
    </row>
    <row r="94" spans="1:16" x14ac:dyDescent="0.35">
      <c r="A94" s="50"/>
      <c r="B94" s="189"/>
      <c r="C94" s="191"/>
      <c r="D94" s="50" t="s">
        <v>76</v>
      </c>
      <c r="E94" s="50" t="s">
        <v>70</v>
      </c>
      <c r="F94" s="50" t="s">
        <v>74</v>
      </c>
      <c r="G94" s="52">
        <v>3000</v>
      </c>
      <c r="H94" s="60">
        <v>458</v>
      </c>
      <c r="I94" s="61">
        <v>1455</v>
      </c>
      <c r="J94" s="61">
        <v>2950</v>
      </c>
      <c r="K94" s="61">
        <v>3945</v>
      </c>
      <c r="L94" s="61">
        <v>4940</v>
      </c>
      <c r="M94" s="61">
        <v>5483</v>
      </c>
      <c r="N94" s="50"/>
      <c r="O94" s="50"/>
      <c r="P94" s="50"/>
    </row>
    <row r="95" spans="1:16" x14ac:dyDescent="0.35">
      <c r="A95" s="50"/>
      <c r="B95" s="189"/>
      <c r="C95" s="191"/>
      <c r="D95" s="50"/>
      <c r="E95" s="50"/>
      <c r="F95" s="50"/>
      <c r="G95" s="52" t="s">
        <v>103</v>
      </c>
      <c r="H95" s="50">
        <v>814</v>
      </c>
      <c r="I95" s="50">
        <v>2017</v>
      </c>
      <c r="J95" s="50">
        <v>4182</v>
      </c>
      <c r="K95" s="50">
        <v>5373</v>
      </c>
      <c r="L95" s="50">
        <v>6516</v>
      </c>
      <c r="M95" s="50">
        <v>7132</v>
      </c>
      <c r="N95" s="50"/>
      <c r="O95" s="50"/>
      <c r="P95" s="50"/>
    </row>
    <row r="96" spans="1:16" x14ac:dyDescent="0.35">
      <c r="A96" s="50"/>
      <c r="B96" s="189"/>
      <c r="C96" s="50"/>
      <c r="D96" s="50"/>
      <c r="E96" s="50"/>
      <c r="F96" s="50"/>
      <c r="G96" s="52" t="s">
        <v>59</v>
      </c>
      <c r="H96" s="50"/>
      <c r="I96" s="50"/>
      <c r="J96" s="50"/>
      <c r="K96" s="50"/>
      <c r="L96" s="50"/>
      <c r="M96" s="50"/>
      <c r="N96" s="50"/>
      <c r="O96" s="50"/>
      <c r="P96" s="50"/>
    </row>
    <row r="97" spans="1:16" x14ac:dyDescent="0.35">
      <c r="A97" s="50"/>
      <c r="B97" s="189"/>
      <c r="C97" s="50"/>
      <c r="D97" s="50"/>
      <c r="E97" s="50"/>
      <c r="F97" s="50"/>
      <c r="G97" s="52" t="s">
        <v>59</v>
      </c>
      <c r="H97" s="50"/>
      <c r="I97" s="50"/>
      <c r="J97" s="50"/>
      <c r="K97" s="50"/>
      <c r="L97" s="50"/>
      <c r="M97" s="50"/>
      <c r="N97" s="50"/>
      <c r="O97" s="50"/>
      <c r="P97" s="50"/>
    </row>
    <row r="98" spans="1:16" x14ac:dyDescent="0.35">
      <c r="A98" s="50"/>
      <c r="B98" s="189"/>
      <c r="C98" s="50"/>
      <c r="D98" s="50"/>
      <c r="E98" s="50"/>
      <c r="F98" s="50"/>
      <c r="G98" s="52" t="s">
        <v>59</v>
      </c>
      <c r="H98" s="50"/>
      <c r="I98" s="50"/>
      <c r="J98" s="50"/>
      <c r="K98" s="50"/>
      <c r="L98" s="50"/>
      <c r="M98" s="50"/>
      <c r="N98" s="50"/>
      <c r="O98" s="50"/>
      <c r="P98" s="50"/>
    </row>
    <row r="99" spans="1:16" x14ac:dyDescent="0.35">
      <c r="A99" s="50"/>
      <c r="B99" s="189"/>
      <c r="C99" s="50"/>
      <c r="D99" s="50"/>
      <c r="E99" s="50"/>
      <c r="F99" s="50"/>
      <c r="G99" s="52" t="s">
        <v>59</v>
      </c>
      <c r="H99" s="50"/>
      <c r="I99" s="50"/>
      <c r="J99" s="50"/>
      <c r="K99" s="50"/>
      <c r="L99" s="50"/>
      <c r="M99" s="50"/>
      <c r="N99" s="50"/>
      <c r="O99" s="50"/>
      <c r="P99" s="50"/>
    </row>
    <row r="100" spans="1:16" x14ac:dyDescent="0.35">
      <c r="A100" s="50"/>
      <c r="B100" s="189"/>
      <c r="C100" s="50"/>
      <c r="D100" s="50"/>
      <c r="E100" s="50"/>
      <c r="F100" s="50"/>
      <c r="G100" s="52" t="s">
        <v>59</v>
      </c>
      <c r="H100" s="50"/>
      <c r="I100" s="50"/>
      <c r="J100" s="50"/>
      <c r="K100" s="50"/>
      <c r="L100" s="50"/>
      <c r="M100" s="50"/>
      <c r="N100" s="50"/>
      <c r="O100" s="50"/>
      <c r="P100" s="50"/>
    </row>
    <row r="101" spans="1:16" x14ac:dyDescent="0.35">
      <c r="A101" s="50"/>
      <c r="B101" s="189"/>
      <c r="C101" s="191" t="s">
        <v>104</v>
      </c>
      <c r="D101" s="50" t="s">
        <v>76</v>
      </c>
      <c r="E101" s="50" t="s">
        <v>70</v>
      </c>
      <c r="F101" s="50" t="s">
        <v>94</v>
      </c>
      <c r="G101" s="52" t="s">
        <v>105</v>
      </c>
      <c r="H101" s="60">
        <v>316</v>
      </c>
      <c r="I101" s="60">
        <v>478</v>
      </c>
      <c r="J101" s="60">
        <v>750</v>
      </c>
      <c r="K101" s="60">
        <v>1300</v>
      </c>
      <c r="L101" s="60">
        <v>1675</v>
      </c>
      <c r="M101" s="60">
        <v>1775</v>
      </c>
      <c r="N101" s="50"/>
      <c r="O101" s="50"/>
      <c r="P101" s="50"/>
    </row>
    <row r="102" spans="1:16" x14ac:dyDescent="0.35">
      <c r="A102" s="50"/>
      <c r="B102" s="189"/>
      <c r="C102" s="191"/>
      <c r="D102" s="50" t="s">
        <v>76</v>
      </c>
      <c r="E102" s="50" t="s">
        <v>70</v>
      </c>
      <c r="F102" s="50" t="s">
        <v>91</v>
      </c>
      <c r="G102" s="52" t="s">
        <v>105</v>
      </c>
      <c r="H102" s="60">
        <v>2</v>
      </c>
      <c r="I102" s="60">
        <v>31</v>
      </c>
      <c r="J102" s="60">
        <v>68</v>
      </c>
      <c r="K102" s="60">
        <v>88</v>
      </c>
      <c r="L102" s="60">
        <v>96</v>
      </c>
      <c r="M102" s="60">
        <v>107</v>
      </c>
      <c r="N102" s="50"/>
      <c r="O102" s="50"/>
      <c r="P102" s="50"/>
    </row>
    <row r="103" spans="1:16" x14ac:dyDescent="0.35">
      <c r="A103" s="50"/>
      <c r="B103" s="189"/>
      <c r="C103" s="191"/>
      <c r="D103" s="50" t="s">
        <v>76</v>
      </c>
      <c r="E103" s="50" t="s">
        <v>70</v>
      </c>
      <c r="F103" s="50" t="s">
        <v>100</v>
      </c>
      <c r="G103" s="52" t="s">
        <v>59</v>
      </c>
      <c r="H103" s="50"/>
      <c r="I103" s="50"/>
      <c r="J103" s="50"/>
      <c r="K103" s="50"/>
      <c r="L103" s="50"/>
      <c r="M103" s="50"/>
      <c r="N103" s="50"/>
      <c r="O103" s="50"/>
      <c r="P103" s="50"/>
    </row>
    <row r="104" spans="1:16" x14ac:dyDescent="0.35">
      <c r="A104" s="50"/>
      <c r="B104" s="189"/>
      <c r="C104" s="191"/>
      <c r="D104" s="50"/>
      <c r="E104" s="50"/>
      <c r="F104" s="50"/>
      <c r="G104" s="52" t="s">
        <v>59</v>
      </c>
      <c r="H104" s="50"/>
      <c r="I104" s="50"/>
      <c r="J104" s="50"/>
      <c r="K104" s="50"/>
      <c r="L104" s="50"/>
      <c r="M104" s="50"/>
      <c r="N104" s="50"/>
      <c r="O104" s="50"/>
      <c r="P104" s="50"/>
    </row>
    <row r="105" spans="1:16" x14ac:dyDescent="0.35">
      <c r="A105" s="50"/>
      <c r="B105" s="189"/>
      <c r="C105" s="191"/>
      <c r="D105" s="50" t="s">
        <v>76</v>
      </c>
      <c r="E105" s="50" t="s">
        <v>70</v>
      </c>
      <c r="F105" s="50" t="s">
        <v>94</v>
      </c>
      <c r="G105" s="52" t="s">
        <v>106</v>
      </c>
      <c r="H105" s="60">
        <v>46</v>
      </c>
      <c r="I105" s="60">
        <v>5</v>
      </c>
      <c r="J105" s="60" t="s">
        <v>93</v>
      </c>
      <c r="K105" s="60" t="s">
        <v>93</v>
      </c>
      <c r="L105" s="60">
        <v>0</v>
      </c>
      <c r="M105" s="60">
        <v>0</v>
      </c>
      <c r="N105" s="50"/>
      <c r="O105" s="50"/>
      <c r="P105" s="50"/>
    </row>
    <row r="106" spans="1:16" x14ac:dyDescent="0.35">
      <c r="A106" s="50"/>
      <c r="B106" s="189"/>
      <c r="C106" s="191"/>
      <c r="D106" s="50" t="s">
        <v>76</v>
      </c>
      <c r="E106" s="50" t="s">
        <v>70</v>
      </c>
      <c r="F106" s="50" t="s">
        <v>91</v>
      </c>
      <c r="G106" s="52" t="s">
        <v>106</v>
      </c>
      <c r="H106" s="60">
        <v>21</v>
      </c>
      <c r="I106" s="60">
        <v>6</v>
      </c>
      <c r="J106" s="60">
        <v>12</v>
      </c>
      <c r="K106" s="60">
        <v>15</v>
      </c>
      <c r="L106" s="60">
        <v>17</v>
      </c>
      <c r="M106" s="60">
        <v>19</v>
      </c>
      <c r="N106" s="50"/>
      <c r="O106" s="50"/>
      <c r="P106" s="50"/>
    </row>
    <row r="107" spans="1:16" ht="43.5" x14ac:dyDescent="0.35">
      <c r="A107" s="50"/>
      <c r="B107" s="189"/>
      <c r="C107" s="191"/>
      <c r="D107" s="50" t="s">
        <v>76</v>
      </c>
      <c r="E107" s="50" t="s">
        <v>70</v>
      </c>
      <c r="F107" s="50" t="s">
        <v>74</v>
      </c>
      <c r="G107" s="64" t="s">
        <v>107</v>
      </c>
      <c r="H107" s="60">
        <v>153</v>
      </c>
      <c r="I107" s="60">
        <v>190</v>
      </c>
      <c r="J107" s="60">
        <v>300</v>
      </c>
      <c r="K107" s="60">
        <v>342</v>
      </c>
      <c r="L107" s="60">
        <v>360</v>
      </c>
      <c r="M107" s="60">
        <v>378</v>
      </c>
      <c r="N107" s="50"/>
      <c r="O107" s="50"/>
      <c r="P107" s="50"/>
    </row>
    <row r="108" spans="1:16" x14ac:dyDescent="0.35">
      <c r="A108" s="50"/>
      <c r="B108" s="189"/>
      <c r="C108" s="191"/>
      <c r="D108" s="50"/>
      <c r="E108" s="50"/>
      <c r="F108" s="50"/>
      <c r="G108" s="52" t="s">
        <v>59</v>
      </c>
      <c r="H108" s="50"/>
      <c r="I108" s="50"/>
      <c r="J108" s="50"/>
      <c r="K108" s="50"/>
      <c r="L108" s="50"/>
      <c r="M108" s="50"/>
      <c r="N108" s="50"/>
      <c r="O108" s="50"/>
      <c r="P108" s="50"/>
    </row>
    <row r="109" spans="1:16" x14ac:dyDescent="0.35">
      <c r="A109" s="50"/>
      <c r="B109" s="189"/>
      <c r="C109" s="191"/>
      <c r="D109" s="50" t="s">
        <v>76</v>
      </c>
      <c r="E109" s="50" t="s">
        <v>70</v>
      </c>
      <c r="F109" s="50" t="s">
        <v>88</v>
      </c>
      <c r="G109" s="52" t="s">
        <v>108</v>
      </c>
      <c r="H109" s="60">
        <v>32</v>
      </c>
      <c r="I109" s="60">
        <v>16</v>
      </c>
      <c r="J109" s="60">
        <v>10</v>
      </c>
      <c r="K109" s="60">
        <v>12</v>
      </c>
      <c r="L109" s="60">
        <v>14</v>
      </c>
      <c r="M109" s="60">
        <v>16</v>
      </c>
      <c r="N109" s="50"/>
      <c r="O109" s="50"/>
      <c r="P109" s="50"/>
    </row>
    <row r="110" spans="1:16" x14ac:dyDescent="0.35">
      <c r="A110" s="50"/>
      <c r="B110" s="189"/>
      <c r="C110" s="191"/>
      <c r="D110" s="50" t="s">
        <v>76</v>
      </c>
      <c r="E110" s="50" t="s">
        <v>70</v>
      </c>
      <c r="F110" s="50" t="s">
        <v>88</v>
      </c>
      <c r="G110" s="52" t="s">
        <v>109</v>
      </c>
      <c r="H110" s="60">
        <v>6</v>
      </c>
      <c r="I110" s="60">
        <v>9</v>
      </c>
      <c r="J110" s="60">
        <v>8</v>
      </c>
      <c r="K110" s="60">
        <v>8</v>
      </c>
      <c r="L110" s="60">
        <v>9</v>
      </c>
      <c r="M110" s="60">
        <v>10</v>
      </c>
      <c r="N110" s="50"/>
      <c r="O110" s="50"/>
      <c r="P110" s="50"/>
    </row>
    <row r="111" spans="1:16" x14ac:dyDescent="0.35">
      <c r="A111" s="50"/>
      <c r="B111" s="189"/>
      <c r="C111" s="191"/>
      <c r="D111" s="50" t="s">
        <v>76</v>
      </c>
      <c r="E111" s="50" t="s">
        <v>70</v>
      </c>
      <c r="F111" s="50" t="s">
        <v>88</v>
      </c>
      <c r="G111" s="52" t="s">
        <v>110</v>
      </c>
      <c r="H111" s="60">
        <v>21</v>
      </c>
      <c r="I111" s="60">
        <v>30</v>
      </c>
      <c r="J111" s="60">
        <v>24</v>
      </c>
      <c r="K111" s="60">
        <v>30</v>
      </c>
      <c r="L111" s="60">
        <v>40</v>
      </c>
      <c r="M111" s="60">
        <v>48</v>
      </c>
      <c r="N111" s="50"/>
      <c r="O111" s="50"/>
      <c r="P111" s="50"/>
    </row>
    <row r="112" spans="1:16" x14ac:dyDescent="0.35">
      <c r="A112" s="50"/>
      <c r="B112" s="189"/>
      <c r="C112" s="191"/>
      <c r="D112" s="50" t="s">
        <v>76</v>
      </c>
      <c r="E112" s="50" t="s">
        <v>70</v>
      </c>
      <c r="F112" s="50" t="s">
        <v>88</v>
      </c>
      <c r="G112" s="52" t="s">
        <v>100</v>
      </c>
      <c r="H112" s="60">
        <v>2</v>
      </c>
      <c r="I112" s="60">
        <v>1</v>
      </c>
      <c r="J112" s="60">
        <v>2</v>
      </c>
      <c r="K112" s="60">
        <v>2</v>
      </c>
      <c r="L112" s="60">
        <v>2</v>
      </c>
      <c r="M112" s="60">
        <v>2</v>
      </c>
      <c r="N112" s="50"/>
      <c r="O112" s="50"/>
      <c r="P112" s="50"/>
    </row>
    <row r="113" spans="1:16" x14ac:dyDescent="0.35">
      <c r="A113" s="50"/>
      <c r="B113" s="189"/>
      <c r="C113" s="191"/>
      <c r="D113" s="50" t="s">
        <v>76</v>
      </c>
      <c r="E113" s="50" t="s">
        <v>70</v>
      </c>
      <c r="F113" s="50" t="s">
        <v>88</v>
      </c>
      <c r="G113" s="52" t="s">
        <v>111</v>
      </c>
      <c r="H113" s="60">
        <v>0</v>
      </c>
      <c r="I113" s="60">
        <v>0</v>
      </c>
      <c r="J113" s="60">
        <v>0</v>
      </c>
      <c r="K113" s="60">
        <v>1</v>
      </c>
      <c r="L113" s="60">
        <v>5</v>
      </c>
      <c r="M113" s="60">
        <v>10</v>
      </c>
      <c r="N113" s="50"/>
      <c r="O113" s="50"/>
      <c r="P113" s="50"/>
    </row>
    <row r="114" spans="1:16" x14ac:dyDescent="0.35">
      <c r="A114" s="50"/>
      <c r="B114" s="189"/>
      <c r="C114" s="191"/>
      <c r="D114" s="50"/>
      <c r="E114" s="50"/>
      <c r="F114" s="50"/>
      <c r="G114" s="52" t="s">
        <v>59</v>
      </c>
      <c r="H114" s="50"/>
      <c r="I114" s="50"/>
      <c r="J114" s="50"/>
      <c r="K114" s="50"/>
      <c r="L114" s="50"/>
      <c r="M114" s="50"/>
      <c r="N114" s="50"/>
      <c r="O114" s="50"/>
      <c r="P114" s="50"/>
    </row>
    <row r="115" spans="1:16" x14ac:dyDescent="0.35">
      <c r="A115" s="50"/>
      <c r="B115" s="189"/>
      <c r="C115" s="191"/>
      <c r="D115" s="50" t="s">
        <v>76</v>
      </c>
      <c r="E115" s="50" t="s">
        <v>70</v>
      </c>
      <c r="F115" s="50" t="s">
        <v>74</v>
      </c>
      <c r="G115" s="52" t="s">
        <v>112</v>
      </c>
      <c r="H115" s="60">
        <v>41</v>
      </c>
      <c r="I115" s="60">
        <v>27</v>
      </c>
      <c r="J115" s="60">
        <v>51</v>
      </c>
      <c r="K115" s="60">
        <v>60</v>
      </c>
      <c r="L115" s="60">
        <v>60</v>
      </c>
      <c r="M115" s="60">
        <v>60</v>
      </c>
      <c r="N115" s="50"/>
      <c r="O115" s="50"/>
      <c r="P115" s="50"/>
    </row>
    <row r="116" spans="1:16" x14ac:dyDescent="0.35">
      <c r="A116" s="50"/>
      <c r="B116" s="189"/>
      <c r="C116" s="191"/>
      <c r="D116" s="50" t="s">
        <v>76</v>
      </c>
      <c r="E116" s="50" t="s">
        <v>70</v>
      </c>
      <c r="F116" s="50" t="s">
        <v>100</v>
      </c>
      <c r="G116" s="52" t="s">
        <v>112</v>
      </c>
      <c r="H116" s="60">
        <v>20</v>
      </c>
      <c r="I116" s="60">
        <v>14</v>
      </c>
      <c r="J116" s="60">
        <v>20</v>
      </c>
      <c r="K116" s="60">
        <v>25</v>
      </c>
      <c r="L116" s="60">
        <v>30</v>
      </c>
      <c r="M116" s="60">
        <v>30</v>
      </c>
      <c r="N116" s="50"/>
      <c r="O116" s="50"/>
      <c r="P116" s="50"/>
    </row>
    <row r="117" spans="1:16" x14ac:dyDescent="0.35">
      <c r="A117" s="50"/>
      <c r="B117" s="189"/>
      <c r="C117" s="191"/>
      <c r="D117" s="50" t="s">
        <v>76</v>
      </c>
      <c r="E117" s="50" t="s">
        <v>70</v>
      </c>
      <c r="F117" s="50" t="s">
        <v>100</v>
      </c>
      <c r="G117" s="52" t="s">
        <v>113</v>
      </c>
      <c r="H117" s="54">
        <v>17</v>
      </c>
      <c r="I117" s="54">
        <v>20</v>
      </c>
      <c r="J117" s="54">
        <v>0</v>
      </c>
      <c r="K117" s="54">
        <v>0</v>
      </c>
      <c r="L117" s="54">
        <v>0</v>
      </c>
      <c r="M117" s="54">
        <v>0</v>
      </c>
      <c r="N117" s="50"/>
      <c r="O117" s="50"/>
      <c r="P117" s="50"/>
    </row>
    <row r="118" spans="1:16" x14ac:dyDescent="0.35">
      <c r="A118" s="50"/>
      <c r="B118" s="189"/>
      <c r="C118" s="191"/>
      <c r="D118" s="50" t="s">
        <v>76</v>
      </c>
      <c r="E118" s="50" t="s">
        <v>70</v>
      </c>
      <c r="F118" s="50" t="s">
        <v>100</v>
      </c>
      <c r="G118" s="52" t="s">
        <v>114</v>
      </c>
      <c r="H118" s="60">
        <v>1</v>
      </c>
      <c r="I118" s="60">
        <v>4</v>
      </c>
      <c r="J118" s="60">
        <v>6</v>
      </c>
      <c r="K118" s="60">
        <v>8</v>
      </c>
      <c r="L118" s="60">
        <v>10</v>
      </c>
      <c r="M118" s="60">
        <v>12</v>
      </c>
      <c r="N118" s="50"/>
      <c r="O118" s="50"/>
      <c r="P118" s="50"/>
    </row>
    <row r="119" spans="1:16" x14ac:dyDescent="0.35">
      <c r="A119" s="50"/>
      <c r="B119" s="189"/>
      <c r="C119" s="191"/>
      <c r="D119" s="50" t="s">
        <v>76</v>
      </c>
      <c r="E119" s="50" t="s">
        <v>70</v>
      </c>
      <c r="F119" s="50" t="s">
        <v>100</v>
      </c>
      <c r="G119" s="52" t="s">
        <v>115</v>
      </c>
      <c r="H119" s="60">
        <v>9</v>
      </c>
      <c r="I119" s="60">
        <v>12</v>
      </c>
      <c r="J119" s="60">
        <v>12</v>
      </c>
      <c r="K119" s="60">
        <v>12</v>
      </c>
      <c r="L119" s="60">
        <v>12</v>
      </c>
      <c r="M119" s="60">
        <v>12</v>
      </c>
      <c r="N119" s="50"/>
      <c r="O119" s="50"/>
      <c r="P119" s="50"/>
    </row>
    <row r="120" spans="1:16" x14ac:dyDescent="0.35">
      <c r="A120" s="50"/>
      <c r="B120" s="189"/>
      <c r="C120" s="191"/>
      <c r="D120" s="50" t="s">
        <v>76</v>
      </c>
      <c r="E120" s="50" t="s">
        <v>70</v>
      </c>
      <c r="F120" s="50" t="s">
        <v>100</v>
      </c>
      <c r="G120" s="52" t="s">
        <v>116</v>
      </c>
      <c r="H120" s="60">
        <v>13</v>
      </c>
      <c r="I120" s="60">
        <v>20</v>
      </c>
      <c r="J120" s="60">
        <v>20</v>
      </c>
      <c r="K120" s="60">
        <v>22</v>
      </c>
      <c r="L120" s="60">
        <v>24</v>
      </c>
      <c r="M120" s="60" t="s">
        <v>59</v>
      </c>
      <c r="N120" s="50"/>
      <c r="O120" s="50"/>
      <c r="P120" s="50"/>
    </row>
    <row r="121" spans="1:16" x14ac:dyDescent="0.35">
      <c r="A121" s="50"/>
      <c r="B121" s="189"/>
      <c r="C121" s="191"/>
      <c r="D121" s="50" t="s">
        <v>76</v>
      </c>
      <c r="E121" s="50" t="s">
        <v>70</v>
      </c>
      <c r="F121" s="50" t="s">
        <v>100</v>
      </c>
      <c r="G121" s="52" t="s">
        <v>117</v>
      </c>
      <c r="H121" s="60">
        <v>0</v>
      </c>
      <c r="I121" s="60">
        <v>8</v>
      </c>
      <c r="J121" s="60">
        <v>4</v>
      </c>
      <c r="K121" s="60">
        <v>2</v>
      </c>
      <c r="L121" s="60">
        <v>6</v>
      </c>
      <c r="M121" s="60">
        <v>6</v>
      </c>
      <c r="N121" s="50"/>
      <c r="O121" s="50"/>
      <c r="P121" s="50"/>
    </row>
    <row r="122" spans="1:16" x14ac:dyDescent="0.35">
      <c r="A122" s="50"/>
      <c r="B122" s="189"/>
      <c r="C122" s="191"/>
      <c r="D122" s="50"/>
      <c r="E122" s="50"/>
      <c r="F122" s="50"/>
      <c r="G122" s="52" t="s">
        <v>97</v>
      </c>
      <c r="H122" s="50">
        <v>700</v>
      </c>
      <c r="I122" s="50">
        <v>871</v>
      </c>
      <c r="J122" s="50">
        <v>1287</v>
      </c>
      <c r="K122" s="50">
        <v>1927</v>
      </c>
      <c r="L122" s="50">
        <v>2360</v>
      </c>
      <c r="M122" s="50">
        <v>2485</v>
      </c>
      <c r="N122" s="50"/>
      <c r="O122" s="50"/>
      <c r="P122" s="50"/>
    </row>
  </sheetData>
  <mergeCells count="8">
    <mergeCell ref="D4:L4"/>
    <mergeCell ref="B8:B29"/>
    <mergeCell ref="B32:B50"/>
    <mergeCell ref="B53:B65"/>
    <mergeCell ref="B68:B122"/>
    <mergeCell ref="C68:C79"/>
    <mergeCell ref="C86:C95"/>
    <mergeCell ref="C101:C1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01E3B-C8BD-4890-90B9-A808ACBE4E2E}">
  <dimension ref="C1:E42"/>
  <sheetViews>
    <sheetView workbookViewId="0">
      <selection activeCell="C2" sqref="C2"/>
    </sheetView>
  </sheetViews>
  <sheetFormatPr defaultRowHeight="14.5" x14ac:dyDescent="0.35"/>
  <cols>
    <col min="3" max="3" width="10.7265625" bestFit="1" customWidth="1"/>
    <col min="4" max="4" width="11.81640625" bestFit="1" customWidth="1"/>
  </cols>
  <sheetData>
    <row r="1" spans="3:5" ht="15" thickBot="1" x14ac:dyDescent="0.4"/>
    <row r="2" spans="3:5" ht="16.5" thickBot="1" x14ac:dyDescent="0.4">
      <c r="C2" s="19" t="s">
        <v>6</v>
      </c>
      <c r="D2" s="20" t="s">
        <v>7</v>
      </c>
      <c r="E2" s="33" t="s">
        <v>52</v>
      </c>
    </row>
    <row r="3" spans="3:5" x14ac:dyDescent="0.35">
      <c r="C3" s="9" t="s">
        <v>29</v>
      </c>
      <c r="D3" s="4" t="s">
        <v>30</v>
      </c>
      <c r="E3" s="10"/>
    </row>
    <row r="4" spans="3:5" x14ac:dyDescent="0.35">
      <c r="C4" s="11" t="s">
        <v>31</v>
      </c>
      <c r="D4" s="2" t="s">
        <v>30</v>
      </c>
      <c r="E4" s="12"/>
    </row>
    <row r="5" spans="3:5" x14ac:dyDescent="0.35">
      <c r="C5" s="11" t="s">
        <v>32</v>
      </c>
      <c r="D5" s="2" t="s">
        <v>30</v>
      </c>
      <c r="E5" s="12"/>
    </row>
    <row r="6" spans="3:5" ht="15" thickBot="1" x14ac:dyDescent="0.4">
      <c r="C6" s="13" t="s">
        <v>33</v>
      </c>
      <c r="D6" s="6" t="s">
        <v>30</v>
      </c>
      <c r="E6" s="14"/>
    </row>
    <row r="7" spans="3:5" x14ac:dyDescent="0.35">
      <c r="C7" s="9" t="s">
        <v>29</v>
      </c>
      <c r="D7" s="4" t="s">
        <v>34</v>
      </c>
      <c r="E7" s="10"/>
    </row>
    <row r="8" spans="3:5" x14ac:dyDescent="0.35">
      <c r="C8" s="11" t="s">
        <v>31</v>
      </c>
      <c r="D8" s="2" t="s">
        <v>34</v>
      </c>
      <c r="E8" s="12"/>
    </row>
    <row r="9" spans="3:5" x14ac:dyDescent="0.35">
      <c r="C9" s="11" t="s">
        <v>32</v>
      </c>
      <c r="D9" s="2" t="s">
        <v>34</v>
      </c>
      <c r="E9" s="12"/>
    </row>
    <row r="10" spans="3:5" ht="15" thickBot="1" x14ac:dyDescent="0.4">
      <c r="C10" s="13" t="s">
        <v>33</v>
      </c>
      <c r="D10" s="6" t="s">
        <v>34</v>
      </c>
      <c r="E10" s="14"/>
    </row>
    <row r="11" spans="3:5" x14ac:dyDescent="0.35">
      <c r="C11" s="9" t="s">
        <v>29</v>
      </c>
      <c r="D11" s="4" t="s">
        <v>35</v>
      </c>
      <c r="E11" s="10"/>
    </row>
    <row r="12" spans="3:5" x14ac:dyDescent="0.35">
      <c r="C12" s="11" t="s">
        <v>31</v>
      </c>
      <c r="D12" s="2" t="s">
        <v>35</v>
      </c>
      <c r="E12" s="12"/>
    </row>
    <row r="13" spans="3:5" x14ac:dyDescent="0.35">
      <c r="C13" s="11" t="s">
        <v>32</v>
      </c>
      <c r="D13" s="2" t="s">
        <v>35</v>
      </c>
      <c r="E13" s="12"/>
    </row>
    <row r="14" spans="3:5" ht="15" thickBot="1" x14ac:dyDescent="0.4">
      <c r="C14" s="13" t="s">
        <v>33</v>
      </c>
      <c r="D14" s="6" t="s">
        <v>35</v>
      </c>
      <c r="E14" s="14"/>
    </row>
    <row r="15" spans="3:5" x14ac:dyDescent="0.35">
      <c r="C15" s="9" t="s">
        <v>29</v>
      </c>
      <c r="D15" s="4" t="s">
        <v>36</v>
      </c>
      <c r="E15" s="10"/>
    </row>
    <row r="16" spans="3:5" x14ac:dyDescent="0.35">
      <c r="C16" s="11" t="s">
        <v>31</v>
      </c>
      <c r="D16" s="2" t="s">
        <v>36</v>
      </c>
      <c r="E16" s="12"/>
    </row>
    <row r="17" spans="3:5" x14ac:dyDescent="0.35">
      <c r="C17" s="11" t="s">
        <v>32</v>
      </c>
      <c r="D17" s="2" t="s">
        <v>36</v>
      </c>
      <c r="E17" s="12"/>
    </row>
    <row r="18" spans="3:5" ht="15" thickBot="1" x14ac:dyDescent="0.4">
      <c r="C18" s="13" t="s">
        <v>33</v>
      </c>
      <c r="D18" s="6" t="s">
        <v>36</v>
      </c>
      <c r="E18" s="14"/>
    </row>
    <row r="19" spans="3:5" x14ac:dyDescent="0.35">
      <c r="C19" s="9" t="s">
        <v>29</v>
      </c>
      <c r="D19" s="4" t="s">
        <v>37</v>
      </c>
      <c r="E19" s="10"/>
    </row>
    <row r="20" spans="3:5" x14ac:dyDescent="0.35">
      <c r="C20" s="11" t="s">
        <v>31</v>
      </c>
      <c r="D20" s="2" t="s">
        <v>37</v>
      </c>
      <c r="E20" s="12"/>
    </row>
    <row r="21" spans="3:5" x14ac:dyDescent="0.35">
      <c r="C21" s="11" t="s">
        <v>32</v>
      </c>
      <c r="D21" s="2" t="s">
        <v>37</v>
      </c>
      <c r="E21" s="12"/>
    </row>
    <row r="22" spans="3:5" ht="15" thickBot="1" x14ac:dyDescent="0.4">
      <c r="C22" s="13" t="s">
        <v>33</v>
      </c>
      <c r="D22" s="6" t="s">
        <v>37</v>
      </c>
      <c r="E22" s="14"/>
    </row>
    <row r="23" spans="3:5" x14ac:dyDescent="0.35">
      <c r="C23" s="9" t="s">
        <v>29</v>
      </c>
      <c r="D23" s="4" t="s">
        <v>38</v>
      </c>
      <c r="E23" s="10"/>
    </row>
    <row r="24" spans="3:5" x14ac:dyDescent="0.35">
      <c r="C24" s="11" t="s">
        <v>31</v>
      </c>
      <c r="D24" s="2" t="s">
        <v>38</v>
      </c>
      <c r="E24" s="12"/>
    </row>
    <row r="25" spans="3:5" x14ac:dyDescent="0.35">
      <c r="C25" s="11" t="s">
        <v>32</v>
      </c>
      <c r="D25" s="2" t="s">
        <v>38</v>
      </c>
      <c r="E25" s="12"/>
    </row>
    <row r="26" spans="3:5" ht="15" thickBot="1" x14ac:dyDescent="0.4">
      <c r="C26" s="13" t="s">
        <v>33</v>
      </c>
      <c r="D26" s="6" t="s">
        <v>38</v>
      </c>
      <c r="E26" s="14"/>
    </row>
    <row r="27" spans="3:5" x14ac:dyDescent="0.35">
      <c r="C27" s="9" t="s">
        <v>29</v>
      </c>
      <c r="D27" s="4" t="s">
        <v>39</v>
      </c>
      <c r="E27" s="10"/>
    </row>
    <row r="28" spans="3:5" x14ac:dyDescent="0.35">
      <c r="C28" s="11" t="s">
        <v>31</v>
      </c>
      <c r="D28" s="2" t="s">
        <v>39</v>
      </c>
      <c r="E28" s="12"/>
    </row>
    <row r="29" spans="3:5" x14ac:dyDescent="0.35">
      <c r="C29" s="11" t="s">
        <v>32</v>
      </c>
      <c r="D29" s="2" t="s">
        <v>39</v>
      </c>
      <c r="E29" s="12"/>
    </row>
    <row r="30" spans="3:5" ht="15" thickBot="1" x14ac:dyDescent="0.4">
      <c r="C30" s="13" t="s">
        <v>33</v>
      </c>
      <c r="D30" s="6" t="s">
        <v>39</v>
      </c>
      <c r="E30" s="14"/>
    </row>
    <row r="31" spans="3:5" x14ac:dyDescent="0.35">
      <c r="C31" s="9" t="s">
        <v>29</v>
      </c>
      <c r="D31" s="4" t="s">
        <v>40</v>
      </c>
      <c r="E31" s="10"/>
    </row>
    <row r="32" spans="3:5" x14ac:dyDescent="0.35">
      <c r="C32" s="11" t="s">
        <v>31</v>
      </c>
      <c r="D32" s="2" t="s">
        <v>40</v>
      </c>
      <c r="E32" s="12"/>
    </row>
    <row r="33" spans="3:5" x14ac:dyDescent="0.35">
      <c r="C33" s="11" t="s">
        <v>32</v>
      </c>
      <c r="D33" s="2" t="s">
        <v>40</v>
      </c>
      <c r="E33" s="12"/>
    </row>
    <row r="34" spans="3:5" ht="15" thickBot="1" x14ac:dyDescent="0.4">
      <c r="C34" s="13" t="s">
        <v>33</v>
      </c>
      <c r="D34" s="6" t="s">
        <v>40</v>
      </c>
      <c r="E34" s="14"/>
    </row>
    <row r="35" spans="3:5" x14ac:dyDescent="0.35">
      <c r="C35" s="9" t="s">
        <v>29</v>
      </c>
      <c r="D35" s="4" t="s">
        <v>41</v>
      </c>
      <c r="E35" s="10"/>
    </row>
    <row r="36" spans="3:5" x14ac:dyDescent="0.35">
      <c r="C36" s="11" t="s">
        <v>31</v>
      </c>
      <c r="D36" s="2" t="s">
        <v>41</v>
      </c>
      <c r="E36" s="12"/>
    </row>
    <row r="37" spans="3:5" x14ac:dyDescent="0.35">
      <c r="C37" s="11" t="s">
        <v>32</v>
      </c>
      <c r="D37" s="2" t="s">
        <v>41</v>
      </c>
      <c r="E37" s="12"/>
    </row>
    <row r="38" spans="3:5" ht="15" thickBot="1" x14ac:dyDescent="0.4">
      <c r="C38" s="13" t="s">
        <v>33</v>
      </c>
      <c r="D38" s="6" t="s">
        <v>41</v>
      </c>
      <c r="E38" s="14"/>
    </row>
    <row r="39" spans="3:5" x14ac:dyDescent="0.35">
      <c r="C39" s="9" t="s">
        <v>29</v>
      </c>
      <c r="D39" s="4" t="s">
        <v>42</v>
      </c>
      <c r="E39" s="10"/>
    </row>
    <row r="40" spans="3:5" x14ac:dyDescent="0.35">
      <c r="C40" s="11" t="s">
        <v>31</v>
      </c>
      <c r="D40" s="2" t="s">
        <v>42</v>
      </c>
      <c r="E40" s="12"/>
    </row>
    <row r="41" spans="3:5" x14ac:dyDescent="0.35">
      <c r="C41" s="11" t="s">
        <v>32</v>
      </c>
      <c r="D41" s="2" t="s">
        <v>42</v>
      </c>
      <c r="E41" s="12"/>
    </row>
    <row r="42" spans="3:5" ht="15" thickBot="1" x14ac:dyDescent="0.4">
      <c r="C42" s="13" t="s">
        <v>33</v>
      </c>
      <c r="D42" s="6" t="s">
        <v>42</v>
      </c>
      <c r="E42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5AC523678C0440AB8F0D47A4F0B7A7" ma:contentTypeVersion="3" ma:contentTypeDescription="Create a new document." ma:contentTypeScope="" ma:versionID="64c3c1640d3243977555264b1e2c4438">
  <xsd:schema xmlns:xsd="http://www.w3.org/2001/XMLSchema" xmlns:xs="http://www.w3.org/2001/XMLSchema" xmlns:p="http://schemas.microsoft.com/office/2006/metadata/properties" xmlns:ns2="dc39448b-dd3b-458e-b957-a1eaeaa5345d" targetNamespace="http://schemas.microsoft.com/office/2006/metadata/properties" ma:root="true" ma:fieldsID="f036d18d130b2c2aff9a9834a8325b70" ns2:_="">
    <xsd:import namespace="dc39448b-dd3b-458e-b957-a1eaeaa534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9448b-dd3b-458e-b957-a1eaeaa53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88B107-BA4E-4440-96D0-635E39E633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709B858-A656-4FEE-A5F3-F19539E0B4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39448b-dd3b-458e-b957-a1eaeaa534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87F83C-F025-4CA4-A0F1-22C3CC6BFD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Capacity</vt:lpstr>
      <vt:lpstr>Cap Updt</vt:lpstr>
      <vt:lpstr>Demand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Sanchez, Juan JCSZ [MOEN/EPGA/REY]</dc:creator>
  <cp:keywords/>
  <dc:description/>
  <cp:lastModifiedBy>Ayala, Jesus JAC [MOEN/EPGA/REY]</cp:lastModifiedBy>
  <cp:revision/>
  <dcterms:created xsi:type="dcterms:W3CDTF">2026-04-06T14:59:42Z</dcterms:created>
  <dcterms:modified xsi:type="dcterms:W3CDTF">2026-04-14T15:23:09Z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0x010100835AC523678C0440AB8F0D47A4F0B7A7</vt:lpwstr>
  </property>
  <property fmtid="{D5CDD505-2E9C-101B-9397-08002B2CF9AE}" pid="3" name="MediaServiceImageTags">
    <vt:lpwstr/>
  </property>
  <property fmtid="{D5CDD505-2E9C-101B-9397-08002B2CF9AE}" pid="4" name="Order">
    <vt:r8>154900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