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onzalezje\Downloads\"/>
    </mc:Choice>
  </mc:AlternateContent>
  <xr:revisionPtr revIDLastSave="0" documentId="13_ncr:1_{C09C344F-3C72-4BB1-AF67-AF895A055D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6" r:id="rId1"/>
    <sheet name="Rules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6" l="1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2" i="6"/>
  <c r="J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</calcChain>
</file>

<file path=xl/sharedStrings.xml><?xml version="1.0" encoding="utf-8"?>
<sst xmlns="http://schemas.openxmlformats.org/spreadsheetml/2006/main" count="564" uniqueCount="55">
  <si>
    <t>Year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</si>
  <si>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</si>
  <si>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</si>
  <si>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</si>
  <si>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</si>
  <si>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</si>
  <si>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</si>
  <si>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</si>
  <si>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</si>
  <si>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</si>
  <si>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</si>
  <si>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Canada</t>
  </si>
  <si>
    <t>France</t>
  </si>
  <si>
    <t>Germany</t>
  </si>
  <si>
    <t>Mexico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</si>
  <si>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</si>
  <si>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</si>
  <si>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</si>
  <si>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</si>
  <si>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</si>
  <si>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</si>
  <si>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</si>
  <si>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</si>
  <si>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</si>
  <si>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Month Name</t>
  </si>
  <si>
    <t>Producto A</t>
  </si>
  <si>
    <t>Producto B</t>
  </si>
  <si>
    <t>Producto C</t>
  </si>
  <si>
    <t>Producto D</t>
  </si>
  <si>
    <t>Producto E</t>
  </si>
  <si>
    <t>Producto F</t>
  </si>
  <si>
    <t>Prod A</t>
  </si>
  <si>
    <t>Prod B</t>
  </si>
  <si>
    <t>Prod C</t>
  </si>
  <si>
    <t>Prod D</t>
  </si>
  <si>
    <t>Prod E</t>
  </si>
  <si>
    <t>Prod F</t>
  </si>
  <si>
    <t>Gross Sale</t>
  </si>
  <si>
    <t>Discount band</t>
  </si>
  <si>
    <t>Sales</t>
  </si>
  <si>
    <t>Units sold x Sales price</t>
  </si>
  <si>
    <t>Gorss Sales - Discount</t>
  </si>
  <si>
    <t>Units sold x MFG price</t>
  </si>
  <si>
    <t>Sales - COGS</t>
  </si>
  <si>
    <t>GM/Profit</t>
  </si>
  <si>
    <t xml:space="preserve"> 0 = no discuount</t>
  </si>
  <si>
    <t>1 - 10, 000 low discount</t>
  </si>
  <si>
    <t>10,001 - 50,000 medium discount</t>
  </si>
  <si>
    <t>50,001 - 100, 000 high discount</t>
  </si>
  <si>
    <t>&gt;100,000 Special discount</t>
  </si>
  <si>
    <t>ID_Sales</t>
  </si>
  <si>
    <t>Period</t>
  </si>
  <si>
    <t>U./S.A</t>
  </si>
  <si>
    <t>Actual Delivery Date</t>
  </si>
  <si>
    <t>Schedule Delivery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</si>
</sst>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5B9BD5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44" fontId="2" fillId="0" borderId="0" xfId="1" applyFont="1"/>
    <xf numFmtId="49" fontId="2" fillId="0" borderId="0" xfId="1" applyNumberFormat="1" applyFont="1"/>
    <xf numFmtId="3" fontId="0" fillId="0" borderId="0" xfId="0" applyNumberFormat="1"/>
    <xf numFmtId="0" fontId="0" fillId="0" borderId="0" xfId="0" quotePrefix="1"/>
    <xf numFmtId="0" fontId="0" fillId="0" borderId="0" xfId="1" applyNumberFormat="1" applyFont="1"/>
    <xf numFmtId="0" fontId="2" fillId="0" borderId="0" xfId="1" applyNumberFormat="1" applyFont="1"/>
    <xf numFmtId="14" fontId="2" fillId="0" borderId="0" xfId="1" applyNumberFormat="1" applyFont="1"/>
    <xf numFmtId="14" fontId="0" fillId="0" borderId="0" xfId="1" applyNumberFormat="1" applyFont="1"/>
    <xf numFmtId="14" fontId="3" fillId="0" borderId="1" xfId="0" applyNumberFormat="1" applyFont="1" applyBorder="1"/>
  </cellXfs>
  <cellStyles count="2">
    <cellStyle name="Currency" xfId="1" builtinId="4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M182" totalsRowShown="0" headerRowDxfId="10" dataDxfId="9" headerRowCellStyle="Currency" dataCellStyle="Currency">
  <sortState xmlns:xlrd2="http://schemas.microsoft.com/office/spreadsheetml/2017/richdata2" ref="A2:K182">
    <sortCondition ref="K1:K182"/>
  </sortState>
  <tableColumns count="13">
    <tableColumn id="1" xr3:uid="{00000000-0010-0000-0000-000001000000}" name="Segment"/>
    <tableColumn id="4" xr3:uid="{2BC72A09-4F69-4923-8C0E-33D5A6E9204E}" name="ID_Sales"/>
    <tableColumn id="2" xr3:uid="{00000000-0010-0000-0000-000002000000}" name="Country"/>
    <tableColumn id="16" xr3:uid="{00000000-0010-0000-0000-000010000000}" name="Product" dataDxfId="8" dataCellStyle="Currency"/>
    <tableColumn id="10" xr3:uid="{00000000-0010-0000-0000-00000A000000}" name="Discounts" dataDxfId="7" dataCellStyle="Currency"/>
    <tableColumn id="6" xr3:uid="{00000000-0010-0000-0000-000006000000}" name="Units Sold"/>
    <tableColumn id="7" xr3:uid="{00000000-0010-0000-0000-000007000000}" name="Manufacturing Price" dataDxfId="6" dataCellStyle="Currency"/>
    <tableColumn id="8" xr3:uid="{00000000-0010-0000-0000-000008000000}" name="Sale Price" dataDxfId="5" dataCellStyle="Currency"/>
    <tableColumn id="18" xr3:uid="{00000000-0010-0000-0000-000012000000}" name="Month Name" dataDxfId="4" dataCellStyle="Currency"/>
    <tableColumn id="20" xr3:uid="{00000000-0010-0000-0000-000014000000}" name="Year" dataDxfId="0" dataCellStyle="Currency">
      <calculatedColumnFormula>YEAR(financials[[#This Row],[Schedule Delivery Date]])</calculatedColumnFormula>
    </tableColumn>
    <tableColumn id="3" xr3:uid="{613911D3-AF34-4EEF-9F24-BCBA54BAD520}" name="Period" dataDxfId="3" dataCellStyle="Currency"/>
    <tableColumn id="5" xr3:uid="{75B395E7-F81C-4AEF-AF1D-A6D951A335CD}" name="Schedule Delivery Date" dataDxfId="2" dataCellStyle="Currency"/>
    <tableColumn id="9" xr3:uid="{57BD8065-1EF7-458D-9AA5-30DD9BFE81F4}" name="Actual Delivery Date" dataDxfId="1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2"/>
  <sheetViews>
    <sheetView tabSelected="1" zoomScale="85" zoomScaleNormal="85" workbookViewId="0">
      <selection activeCell="O9" sqref="O9"/>
    </sheetView>
  </sheetViews>
  <sheetFormatPr defaultRowHeight="15" x14ac:dyDescent="0.25"/>
  <cols>
    <col min="1" max="1" width="16.28515625" bestFit="1" customWidth="1"/>
    <col min="2" max="2" width="16.28515625" customWidth="1"/>
    <col min="3" max="3" width="26.5703125" customWidth="1"/>
    <col min="4" max="4" width="14.140625" style="3" bestFit="1" customWidth="1"/>
    <col min="5" max="5" width="13.42578125" style="1" bestFit="1" customWidth="1"/>
    <col min="6" max="6" width="14.28515625" style="1" customWidth="1"/>
    <col min="7" max="7" width="23.28515625" style="1" bestFit="1" customWidth="1"/>
    <col min="8" max="8" width="12.5703125" style="1" bestFit="1" customWidth="1"/>
    <col min="9" max="9" width="18.42578125" bestFit="1" customWidth="1"/>
    <col min="10" max="10" width="16.5703125" bestFit="1" customWidth="1"/>
    <col min="11" max="11" width="14" style="2" bestFit="1" customWidth="1"/>
    <col min="12" max="12" width="17.28515625" customWidth="1"/>
    <col min="13" max="13" width="23.28515625" customWidth="1"/>
  </cols>
  <sheetData>
    <row r="1" spans="1:13" x14ac:dyDescent="0.25">
      <c r="A1" t="s">
        <v>5</v>
      </c>
      <c r="B1" t="s">
        <v>50</v>
      </c>
      <c r="C1" t="s">
        <v>16</v>
      </c>
      <c r="D1" s="4" t="s">
        <v>17</v>
      </c>
      <c r="E1" s="1" t="s">
        <v>1</v>
      </c>
      <c r="F1" t="s">
        <v>3</v>
      </c>
      <c r="G1" s="1" t="s">
        <v>4</v>
      </c>
      <c r="H1" s="1" t="s">
        <v>15</v>
      </c>
      <c r="I1" s="4" t="s">
        <v>24</v>
      </c>
      <c r="J1" s="5" t="s">
        <v>0</v>
      </c>
      <c r="K1" s="8" t="s">
        <v>51</v>
      </c>
      <c r="L1" s="1" t="s">
        <v>54</v>
      </c>
      <c r="M1" s="4" t="s">
        <v>53</v>
      </c>
    </row>
    <row r="2" spans="1:13" x14ac:dyDescent="0.25">
      <c r="A2" t="s">
        <v>8</v>
      </c>
      <c r="B2">
        <v>1</v>
      </c>
      <c r="C2" t="s">
        <v>11</v>
      </c>
      <c r="D2" s="4" t="s">
        <v>32</v>
      </c>
      <c r="E2" s="1">
        <v>0</v>
      </c>
      <c r="F2">
        <v>345</v>
      </c>
      <c r="G2" s="1">
        <v>5</v>
      </c>
      <c r="H2" s="1">
        <v>125</v>
      </c>
      <c r="I2" s="4" t="str">
        <f>TEXT(financials[[#This Row],[Schedule Delivery Date]],"mmmm")</f>
        <v>July</v>
      </c>
      <c r="J2">
        <f>YEAR(financials[[#This Row],[Schedule Delivery Date]])</f>
        <v>2025</v>
      </c>
      <c r="K2" s="9">
        <v>10</v>
      </c>
      <c r="L2" s="10">
        <v>45851</v>
      </c>
      <c r="M2" s="10">
        <v>45854</v>
      </c>
    </row>
    <row r="3" spans="1:13" x14ac:dyDescent="0.25">
      <c r="A3" t="s">
        <v>8</v>
      </c>
      <c r="B3">
        <v>2</v>
      </c>
      <c r="C3" t="s">
        <v>11</v>
      </c>
      <c r="D3" s="4" t="s">
        <v>34</v>
      </c>
      <c r="E3" s="1">
        <v>0</v>
      </c>
      <c r="F3">
        <v>345</v>
      </c>
      <c r="G3" s="1">
        <v>120</v>
      </c>
      <c r="H3" s="1">
        <v>125</v>
      </c>
      <c r="I3" s="4" t="str">
        <f>TEXT(financials[[#This Row],[Schedule Delivery Date]],"mmmm")</f>
        <v>July</v>
      </c>
      <c r="J3">
        <f>YEAR(financials[[#This Row],[Schedule Delivery Date]])</f>
        <v>2025</v>
      </c>
      <c r="K3" s="9">
        <v>10</v>
      </c>
      <c r="L3" s="10">
        <v>45854</v>
      </c>
      <c r="M3" s="10">
        <v>45858</v>
      </c>
    </row>
    <row r="4" spans="1:13" x14ac:dyDescent="0.25">
      <c r="A4" t="s">
        <v>10</v>
      </c>
      <c r="B4">
        <v>3</v>
      </c>
      <c r="C4" t="s">
        <v>13</v>
      </c>
      <c r="D4" s="4" t="s">
        <v>31</v>
      </c>
      <c r="E4" s="1">
        <v>91.92</v>
      </c>
      <c r="F4">
        <v>766</v>
      </c>
      <c r="G4" s="1">
        <v>3</v>
      </c>
      <c r="H4" s="1">
        <v>12</v>
      </c>
      <c r="I4" s="4" t="str">
        <f>TEXT(financials[[#This Row],[Schedule Delivery Date]],"mmmm")</f>
        <v>July</v>
      </c>
      <c r="J4">
        <f>YEAR(financials[[#This Row],[Schedule Delivery Date]])</f>
        <v>2025</v>
      </c>
      <c r="K4" s="9">
        <v>10</v>
      </c>
      <c r="L4" s="10">
        <v>45854</v>
      </c>
      <c r="M4" s="10">
        <v>45858</v>
      </c>
    </row>
    <row r="5" spans="1:13" x14ac:dyDescent="0.25">
      <c r="A5" t="s">
        <v>10</v>
      </c>
      <c r="B5">
        <v>4</v>
      </c>
      <c r="C5" t="s">
        <v>13</v>
      </c>
      <c r="D5" s="4" t="s">
        <v>33</v>
      </c>
      <c r="E5" s="1">
        <v>91.92</v>
      </c>
      <c r="F5">
        <v>766</v>
      </c>
      <c r="G5" s="1">
        <v>10</v>
      </c>
      <c r="H5" s="1">
        <v>12</v>
      </c>
      <c r="I5" s="4" t="str">
        <f>TEXT(financials[[#This Row],[Schedule Delivery Date]],"mmmm")</f>
        <v>July</v>
      </c>
      <c r="J5">
        <f>YEAR(financials[[#This Row],[Schedule Delivery Date]])</f>
        <v>2025</v>
      </c>
      <c r="K5" s="9">
        <v>10</v>
      </c>
      <c r="L5" s="10">
        <v>45854</v>
      </c>
      <c r="M5" s="10">
        <v>45856</v>
      </c>
    </row>
    <row r="6" spans="1:13" x14ac:dyDescent="0.25">
      <c r="A6" t="s">
        <v>10</v>
      </c>
      <c r="B6">
        <v>5</v>
      </c>
      <c r="C6" t="s">
        <v>14</v>
      </c>
      <c r="D6" s="4" t="s">
        <v>31</v>
      </c>
      <c r="E6" s="1">
        <v>396.36</v>
      </c>
      <c r="F6">
        <v>367</v>
      </c>
      <c r="G6" s="1">
        <v>3</v>
      </c>
      <c r="H6" s="1">
        <v>12</v>
      </c>
      <c r="I6" s="4" t="str">
        <f>TEXT(financials[[#This Row],[Schedule Delivery Date]],"mmmm")</f>
        <v>November</v>
      </c>
      <c r="J6">
        <f>YEAR(financials[[#This Row],[Schedule Delivery Date]])</f>
        <v>2025</v>
      </c>
      <c r="K6" s="9">
        <v>10</v>
      </c>
      <c r="L6" s="10">
        <v>45979</v>
      </c>
      <c r="M6" s="10">
        <v>45980</v>
      </c>
    </row>
    <row r="7" spans="1:13" x14ac:dyDescent="0.25">
      <c r="A7" t="s">
        <v>10</v>
      </c>
      <c r="B7">
        <v>6</v>
      </c>
      <c r="C7" t="s">
        <v>14</v>
      </c>
      <c r="D7" s="4" t="s">
        <v>33</v>
      </c>
      <c r="E7" s="1">
        <v>396.36</v>
      </c>
      <c r="F7">
        <v>367</v>
      </c>
      <c r="G7" s="1">
        <v>10</v>
      </c>
      <c r="H7" s="1">
        <v>12</v>
      </c>
      <c r="I7" s="4" t="str">
        <f>TEXT(financials[[#This Row],[Schedule Delivery Date]],"mmmm")</f>
        <v>December</v>
      </c>
      <c r="J7">
        <f>YEAR(financials[[#This Row],[Schedule Delivery Date]])</f>
        <v>2025</v>
      </c>
      <c r="K7" s="9">
        <v>10</v>
      </c>
      <c r="L7" s="10">
        <v>46021</v>
      </c>
      <c r="M7" s="10">
        <v>46024</v>
      </c>
    </row>
    <row r="8" spans="1:13" x14ac:dyDescent="0.25">
      <c r="A8" t="s">
        <v>7</v>
      </c>
      <c r="B8">
        <v>7</v>
      </c>
      <c r="C8" t="s">
        <v>52</v>
      </c>
      <c r="D8" s="4" t="s">
        <v>33</v>
      </c>
      <c r="E8" s="1">
        <v>402.6</v>
      </c>
      <c r="F8">
        <v>671</v>
      </c>
      <c r="G8" s="1">
        <v>10</v>
      </c>
      <c r="H8" s="1">
        <v>15</v>
      </c>
      <c r="I8" s="4" t="str">
        <f>TEXT(financials[[#This Row],[Schedule Delivery Date]],"mmmm")</f>
        <v>December</v>
      </c>
      <c r="J8">
        <f>YEAR(financials[[#This Row],[Schedule Delivery Date]])</f>
        <v>2025</v>
      </c>
      <c r="K8" s="9">
        <v>10</v>
      </c>
      <c r="L8" s="10">
        <v>46021</v>
      </c>
      <c r="M8" s="10">
        <v>46024</v>
      </c>
    </row>
    <row r="9" spans="1:13" x14ac:dyDescent="0.25">
      <c r="A9" t="s">
        <v>7</v>
      </c>
      <c r="B9">
        <v>8</v>
      </c>
      <c r="C9" t="s">
        <v>52</v>
      </c>
      <c r="D9" s="4" t="s">
        <v>36</v>
      </c>
      <c r="E9" s="1">
        <v>402.6</v>
      </c>
      <c r="F9">
        <v>671</v>
      </c>
      <c r="G9" s="1">
        <v>260</v>
      </c>
      <c r="H9" s="1">
        <v>15</v>
      </c>
      <c r="I9" s="4" t="str">
        <f>TEXT(financials[[#This Row],[Schedule Delivery Date]],"mmmm")</f>
        <v>July</v>
      </c>
      <c r="J9">
        <f>YEAR(financials[[#This Row],[Schedule Delivery Date]])</f>
        <v>2025</v>
      </c>
      <c r="K9" s="9">
        <v>10</v>
      </c>
      <c r="L9" s="10">
        <v>45858</v>
      </c>
      <c r="M9" s="10">
        <v>45854</v>
      </c>
    </row>
    <row r="10" spans="1:13" x14ac:dyDescent="0.25">
      <c r="A10" t="s">
        <v>9</v>
      </c>
      <c r="B10">
        <v>9</v>
      </c>
      <c r="C10" t="s">
        <v>13</v>
      </c>
      <c r="D10" s="4" t="s">
        <v>32</v>
      </c>
      <c r="E10" s="1">
        <v>405.65</v>
      </c>
      <c r="F10">
        <v>1159</v>
      </c>
      <c r="G10" s="1">
        <v>5</v>
      </c>
      <c r="H10" s="1">
        <v>7</v>
      </c>
      <c r="I10" s="4" t="str">
        <f>TEXT(financials[[#This Row],[Schedule Delivery Date]],"mmmm")</f>
        <v>July</v>
      </c>
      <c r="J10">
        <f>YEAR(financials[[#This Row],[Schedule Delivery Date]])</f>
        <v>2025</v>
      </c>
      <c r="K10" s="9">
        <v>10</v>
      </c>
      <c r="L10" s="10">
        <v>45868</v>
      </c>
      <c r="M10" s="10">
        <v>45854</v>
      </c>
    </row>
    <row r="11" spans="1:13" x14ac:dyDescent="0.25">
      <c r="A11" t="s">
        <v>9</v>
      </c>
      <c r="B11">
        <v>10</v>
      </c>
      <c r="C11" t="s">
        <v>13</v>
      </c>
      <c r="D11" s="4" t="s">
        <v>36</v>
      </c>
      <c r="E11" s="1">
        <v>405.65</v>
      </c>
      <c r="F11">
        <v>1159</v>
      </c>
      <c r="G11" s="1">
        <v>260</v>
      </c>
      <c r="H11" s="1">
        <v>7</v>
      </c>
      <c r="I11" s="4" t="str">
        <f>TEXT(financials[[#This Row],[Schedule Delivery Date]],"mmmm")</f>
        <v>July</v>
      </c>
      <c r="J11">
        <f>YEAR(financials[[#This Row],[Schedule Delivery Date]])</f>
        <v>2025</v>
      </c>
      <c r="K11" s="9">
        <v>10</v>
      </c>
      <c r="L11" s="10">
        <v>45868</v>
      </c>
      <c r="M11" s="10">
        <v>45854</v>
      </c>
    </row>
    <row r="12" spans="1:13" x14ac:dyDescent="0.25">
      <c r="A12" t="s">
        <v>10</v>
      </c>
      <c r="B12">
        <v>11</v>
      </c>
      <c r="C12" t="s">
        <v>52</v>
      </c>
      <c r="D12" s="4" t="s">
        <v>31</v>
      </c>
      <c r="E12" s="1">
        <v>463.2</v>
      </c>
      <c r="F12">
        <v>386</v>
      </c>
      <c r="G12" s="1">
        <v>3</v>
      </c>
      <c r="H12" s="1">
        <v>12</v>
      </c>
      <c r="I12" s="4" t="str">
        <f>TEXT(financials[[#This Row],[Schedule Delivery Date]],"mmmm")</f>
        <v>September</v>
      </c>
      <c r="J12">
        <f>YEAR(financials[[#This Row],[Schedule Delivery Date]])</f>
        <v>2025</v>
      </c>
      <c r="K12" s="9">
        <v>10</v>
      </c>
      <c r="L12" s="10">
        <v>45911</v>
      </c>
      <c r="M12" s="10">
        <v>45911</v>
      </c>
    </row>
    <row r="13" spans="1:13" x14ac:dyDescent="0.25">
      <c r="A13" t="s">
        <v>10</v>
      </c>
      <c r="B13">
        <v>12</v>
      </c>
      <c r="C13" t="s">
        <v>52</v>
      </c>
      <c r="D13" s="4" t="s">
        <v>33</v>
      </c>
      <c r="E13" s="1">
        <v>463.2</v>
      </c>
      <c r="F13">
        <v>386</v>
      </c>
      <c r="G13" s="1">
        <v>10</v>
      </c>
      <c r="H13" s="1">
        <v>12</v>
      </c>
      <c r="I13" s="4" t="str">
        <f>TEXT(financials[[#This Row],[Schedule Delivery Date]],"mmmm")</f>
        <v>September</v>
      </c>
      <c r="J13">
        <f>YEAR(financials[[#This Row],[Schedule Delivery Date]])</f>
        <v>2025</v>
      </c>
      <c r="K13" s="9">
        <v>10</v>
      </c>
      <c r="L13" s="10">
        <v>45929</v>
      </c>
      <c r="M13" s="10">
        <v>45929</v>
      </c>
    </row>
    <row r="14" spans="1:13" x14ac:dyDescent="0.25">
      <c r="A14" t="s">
        <v>9</v>
      </c>
      <c r="B14">
        <v>13</v>
      </c>
      <c r="C14" t="s">
        <v>12</v>
      </c>
      <c r="D14" s="4" t="s">
        <v>32</v>
      </c>
      <c r="E14" s="1">
        <v>589.26</v>
      </c>
      <c r="F14">
        <v>1403</v>
      </c>
      <c r="G14" s="1">
        <v>5</v>
      </c>
      <c r="H14" s="1">
        <v>7</v>
      </c>
      <c r="I14" s="4" t="str">
        <f>TEXT(financials[[#This Row],[Schedule Delivery Date]],"mmmm")</f>
        <v>October</v>
      </c>
      <c r="J14">
        <f>YEAR(financials[[#This Row],[Schedule Delivery Date]])</f>
        <v>2025</v>
      </c>
      <c r="K14" s="9">
        <v>10</v>
      </c>
      <c r="L14" s="10">
        <v>45935</v>
      </c>
      <c r="M14" s="10">
        <v>45931</v>
      </c>
    </row>
    <row r="15" spans="1:13" x14ac:dyDescent="0.25">
      <c r="A15" t="s">
        <v>9</v>
      </c>
      <c r="B15">
        <v>14</v>
      </c>
      <c r="C15" t="s">
        <v>12</v>
      </c>
      <c r="D15" s="4" t="s">
        <v>36</v>
      </c>
      <c r="E15" s="1">
        <v>589.26</v>
      </c>
      <c r="F15">
        <v>1403</v>
      </c>
      <c r="G15" s="1">
        <v>260</v>
      </c>
      <c r="H15" s="1">
        <v>7</v>
      </c>
      <c r="I15" s="4" t="str">
        <f>TEXT(financials[[#This Row],[Schedule Delivery Date]],"mmmm")</f>
        <v>October</v>
      </c>
      <c r="J15">
        <f>YEAR(financials[[#This Row],[Schedule Delivery Date]])</f>
        <v>2025</v>
      </c>
      <c r="K15" s="9">
        <v>10</v>
      </c>
      <c r="L15" s="10">
        <v>45935</v>
      </c>
      <c r="M15" s="10">
        <v>45931</v>
      </c>
    </row>
    <row r="16" spans="1:13" x14ac:dyDescent="0.25">
      <c r="A16" t="s">
        <v>9</v>
      </c>
      <c r="B16">
        <v>15</v>
      </c>
      <c r="C16" t="s">
        <v>11</v>
      </c>
      <c r="D16" s="4" t="s">
        <v>31</v>
      </c>
      <c r="E16" s="1">
        <v>798.28</v>
      </c>
      <c r="F16">
        <v>2851</v>
      </c>
      <c r="G16" s="1">
        <v>3</v>
      </c>
      <c r="H16" s="1">
        <v>7</v>
      </c>
      <c r="I16" s="4" t="str">
        <f>TEXT(financials[[#This Row],[Schedule Delivery Date]],"mmmm")</f>
        <v>October</v>
      </c>
      <c r="J16">
        <f>YEAR(financials[[#This Row],[Schedule Delivery Date]])</f>
        <v>2025</v>
      </c>
      <c r="K16" s="9">
        <v>10</v>
      </c>
      <c r="L16" s="10">
        <v>45935</v>
      </c>
      <c r="M16" s="10">
        <v>45931</v>
      </c>
    </row>
    <row r="17" spans="1:13" x14ac:dyDescent="0.25">
      <c r="A17" t="s">
        <v>9</v>
      </c>
      <c r="B17">
        <v>16</v>
      </c>
      <c r="C17" t="s">
        <v>11</v>
      </c>
      <c r="D17" s="4" t="s">
        <v>32</v>
      </c>
      <c r="E17" s="1">
        <v>798.28</v>
      </c>
      <c r="F17">
        <v>2851</v>
      </c>
      <c r="G17" s="1">
        <v>5</v>
      </c>
      <c r="H17" s="1">
        <v>7</v>
      </c>
      <c r="I17" s="4" t="str">
        <f>TEXT(financials[[#This Row],[Schedule Delivery Date]],"mmmm")</f>
        <v>October</v>
      </c>
      <c r="J17">
        <f>YEAR(financials[[#This Row],[Schedule Delivery Date]])</f>
        <v>2025</v>
      </c>
      <c r="K17" s="9">
        <v>10</v>
      </c>
      <c r="L17" s="10">
        <v>45936</v>
      </c>
      <c r="M17" s="10">
        <v>45931</v>
      </c>
    </row>
    <row r="18" spans="1:13" x14ac:dyDescent="0.25">
      <c r="A18" t="s">
        <v>9</v>
      </c>
      <c r="B18">
        <v>17</v>
      </c>
      <c r="C18" t="s">
        <v>52</v>
      </c>
      <c r="D18" s="4" t="s">
        <v>33</v>
      </c>
      <c r="E18" s="1">
        <v>801</v>
      </c>
      <c r="F18">
        <v>267</v>
      </c>
      <c r="G18" s="1">
        <v>10</v>
      </c>
      <c r="H18" s="1">
        <v>20</v>
      </c>
      <c r="I18" s="4" t="str">
        <f>TEXT(financials[[#This Row],[Schedule Delivery Date]],"mmmm")</f>
        <v>November</v>
      </c>
      <c r="J18">
        <f>YEAR(financials[[#This Row],[Schedule Delivery Date]])</f>
        <v>2025</v>
      </c>
      <c r="K18" s="9">
        <v>10</v>
      </c>
      <c r="L18" s="10">
        <v>45976</v>
      </c>
      <c r="M18" s="10">
        <v>45965</v>
      </c>
    </row>
    <row r="19" spans="1:13" x14ac:dyDescent="0.25">
      <c r="A19" t="s">
        <v>9</v>
      </c>
      <c r="B19">
        <v>18</v>
      </c>
      <c r="C19" t="s">
        <v>52</v>
      </c>
      <c r="D19" s="4" t="s">
        <v>35</v>
      </c>
      <c r="E19" s="1">
        <v>801</v>
      </c>
      <c r="F19">
        <v>267</v>
      </c>
      <c r="G19" s="1">
        <v>250</v>
      </c>
      <c r="H19" s="1">
        <v>20</v>
      </c>
      <c r="I19" s="4" t="str">
        <f>TEXT(financials[[#This Row],[Schedule Delivery Date]],"mmmm")</f>
        <v>December</v>
      </c>
      <c r="J19">
        <f>YEAR(financials[[#This Row],[Schedule Delivery Date]])</f>
        <v>2025</v>
      </c>
      <c r="K19" s="9">
        <v>10</v>
      </c>
      <c r="L19" s="10">
        <v>46019</v>
      </c>
      <c r="M19" s="10">
        <v>46026</v>
      </c>
    </row>
    <row r="20" spans="1:13" x14ac:dyDescent="0.25">
      <c r="A20" t="s">
        <v>8</v>
      </c>
      <c r="B20">
        <v>19</v>
      </c>
      <c r="C20" t="s">
        <v>52</v>
      </c>
      <c r="D20" s="4" t="s">
        <v>32</v>
      </c>
      <c r="E20" s="1">
        <v>828.75</v>
      </c>
      <c r="F20">
        <v>663</v>
      </c>
      <c r="G20" s="1">
        <v>5</v>
      </c>
      <c r="H20" s="1">
        <v>125</v>
      </c>
      <c r="I20" s="4" t="str">
        <f>TEXT(financials[[#This Row],[Schedule Delivery Date]],"mmmm")</f>
        <v>December</v>
      </c>
      <c r="J20">
        <f>YEAR(financials[[#This Row],[Schedule Delivery Date]])</f>
        <v>2025</v>
      </c>
      <c r="K20" s="9">
        <v>10</v>
      </c>
      <c r="L20" s="10">
        <v>46020</v>
      </c>
      <c r="M20" s="10">
        <v>46025</v>
      </c>
    </row>
    <row r="21" spans="1:13" x14ac:dyDescent="0.25">
      <c r="A21" t="s">
        <v>8</v>
      </c>
      <c r="B21">
        <v>20</v>
      </c>
      <c r="C21" t="s">
        <v>52</v>
      </c>
      <c r="D21" s="4" t="s">
        <v>34</v>
      </c>
      <c r="E21" s="1">
        <v>828.75</v>
      </c>
      <c r="F21">
        <v>663</v>
      </c>
      <c r="G21" s="1">
        <v>120</v>
      </c>
      <c r="H21" s="1">
        <v>125</v>
      </c>
      <c r="I21" s="4" t="str">
        <f>TEXT(financials[[#This Row],[Schedule Delivery Date]],"mmmm")</f>
        <v>December</v>
      </c>
      <c r="J21">
        <f>YEAR(financials[[#This Row],[Schedule Delivery Date]])</f>
        <v>2025</v>
      </c>
      <c r="K21" s="9">
        <v>10</v>
      </c>
      <c r="L21" s="10">
        <v>46020</v>
      </c>
      <c r="M21" s="10">
        <v>46026</v>
      </c>
    </row>
    <row r="22" spans="1:13" x14ac:dyDescent="0.25">
      <c r="A22" t="s">
        <v>7</v>
      </c>
      <c r="B22">
        <v>21</v>
      </c>
      <c r="C22" t="s">
        <v>13</v>
      </c>
      <c r="D22" s="4" t="s">
        <v>33</v>
      </c>
      <c r="E22" s="1">
        <v>875.25</v>
      </c>
      <c r="F22">
        <v>1945</v>
      </c>
      <c r="G22" s="1">
        <v>10</v>
      </c>
      <c r="H22" s="1">
        <v>15</v>
      </c>
      <c r="I22" s="4" t="str">
        <f>TEXT(financials[[#This Row],[Schedule Delivery Date]],"mmmm")</f>
        <v>December</v>
      </c>
      <c r="J22">
        <f>YEAR(financials[[#This Row],[Schedule Delivery Date]])</f>
        <v>2025</v>
      </c>
      <c r="K22" s="9">
        <v>10</v>
      </c>
      <c r="L22" s="10">
        <v>46020</v>
      </c>
      <c r="M22" s="10">
        <v>46024</v>
      </c>
    </row>
    <row r="23" spans="1:13" x14ac:dyDescent="0.25">
      <c r="A23" t="s">
        <v>7</v>
      </c>
      <c r="B23">
        <v>22</v>
      </c>
      <c r="C23" t="s">
        <v>13</v>
      </c>
      <c r="D23" s="4" t="s">
        <v>35</v>
      </c>
      <c r="E23" s="1">
        <v>875.25</v>
      </c>
      <c r="F23">
        <v>1945</v>
      </c>
      <c r="G23" s="1">
        <v>250</v>
      </c>
      <c r="H23" s="1">
        <v>15</v>
      </c>
      <c r="I23" s="4" t="str">
        <f>TEXT(financials[[#This Row],[Schedule Delivery Date]],"mmmm")</f>
        <v>December</v>
      </c>
      <c r="J23">
        <f>YEAR(financials[[#This Row],[Schedule Delivery Date]])</f>
        <v>2025</v>
      </c>
      <c r="K23" s="9">
        <v>10</v>
      </c>
      <c r="L23" s="10">
        <v>46020</v>
      </c>
      <c r="M23" s="10">
        <v>46025</v>
      </c>
    </row>
    <row r="24" spans="1:13" x14ac:dyDescent="0.25">
      <c r="A24" t="s">
        <v>7</v>
      </c>
      <c r="B24">
        <v>23</v>
      </c>
      <c r="C24" t="s">
        <v>14</v>
      </c>
      <c r="D24" s="4" t="s">
        <v>33</v>
      </c>
      <c r="E24" s="1">
        <v>908.4</v>
      </c>
      <c r="F24">
        <v>1514</v>
      </c>
      <c r="G24" s="1">
        <v>10</v>
      </c>
      <c r="H24" s="1">
        <v>15</v>
      </c>
      <c r="I24" s="4" t="str">
        <f>TEXT(financials[[#This Row],[Schedule Delivery Date]],"mmmm")</f>
        <v>December</v>
      </c>
      <c r="J24">
        <f>YEAR(financials[[#This Row],[Schedule Delivery Date]])</f>
        <v>2025</v>
      </c>
      <c r="K24" s="9">
        <v>10</v>
      </c>
      <c r="L24" s="10">
        <v>46020</v>
      </c>
      <c r="M24" s="10">
        <v>46025</v>
      </c>
    </row>
    <row r="25" spans="1:13" x14ac:dyDescent="0.25">
      <c r="A25" t="s">
        <v>7</v>
      </c>
      <c r="B25">
        <v>24</v>
      </c>
      <c r="C25" t="s">
        <v>14</v>
      </c>
      <c r="D25" s="4" t="s">
        <v>35</v>
      </c>
      <c r="E25" s="1">
        <v>908.4</v>
      </c>
      <c r="F25">
        <v>1514</v>
      </c>
      <c r="G25" s="1">
        <v>250</v>
      </c>
      <c r="H25" s="1">
        <v>15</v>
      </c>
      <c r="I25" s="4" t="str">
        <f>TEXT(financials[[#This Row],[Schedule Delivery Date]],"mmmm")</f>
        <v>January</v>
      </c>
      <c r="J25">
        <f>YEAR(financials[[#This Row],[Schedule Delivery Date]])</f>
        <v>2026</v>
      </c>
      <c r="K25" s="9">
        <v>10</v>
      </c>
      <c r="L25" s="10">
        <v>46025</v>
      </c>
      <c r="M25" s="10">
        <v>46028</v>
      </c>
    </row>
    <row r="26" spans="1:13" x14ac:dyDescent="0.25">
      <c r="A26" t="s">
        <v>6</v>
      </c>
      <c r="B26">
        <v>25</v>
      </c>
      <c r="C26" t="s">
        <v>13</v>
      </c>
      <c r="D26" s="4" t="s">
        <v>31</v>
      </c>
      <c r="E26" s="1">
        <v>1284</v>
      </c>
      <c r="F26">
        <v>214</v>
      </c>
      <c r="G26" s="1">
        <v>3</v>
      </c>
      <c r="H26" s="1">
        <v>300</v>
      </c>
      <c r="I26" s="4" t="str">
        <f>TEXT(financials[[#This Row],[Schedule Delivery Date]],"mmmm")</f>
        <v>September</v>
      </c>
      <c r="J26">
        <f>YEAR(financials[[#This Row],[Schedule Delivery Date]])</f>
        <v>2025</v>
      </c>
      <c r="K26" s="9">
        <v>10</v>
      </c>
      <c r="L26" s="10">
        <v>45929</v>
      </c>
      <c r="M26" s="10">
        <v>45929</v>
      </c>
    </row>
    <row r="27" spans="1:13" x14ac:dyDescent="0.25">
      <c r="A27" t="s">
        <v>6</v>
      </c>
      <c r="B27">
        <v>26</v>
      </c>
      <c r="C27" t="s">
        <v>13</v>
      </c>
      <c r="D27" s="4" t="s">
        <v>35</v>
      </c>
      <c r="E27" s="1">
        <v>1284</v>
      </c>
      <c r="F27">
        <v>214</v>
      </c>
      <c r="G27" s="1">
        <v>250</v>
      </c>
      <c r="H27" s="1">
        <v>300</v>
      </c>
      <c r="I27" s="4" t="str">
        <f>TEXT(financials[[#This Row],[Schedule Delivery Date]],"mmmm")</f>
        <v>September</v>
      </c>
      <c r="J27">
        <f>YEAR(financials[[#This Row],[Schedule Delivery Date]])</f>
        <v>2025</v>
      </c>
      <c r="K27" s="9">
        <v>10</v>
      </c>
      <c r="L27" s="10">
        <v>45930</v>
      </c>
      <c r="M27" s="10">
        <v>45931</v>
      </c>
    </row>
    <row r="28" spans="1:13" x14ac:dyDescent="0.25">
      <c r="A28" t="s">
        <v>9</v>
      </c>
      <c r="B28">
        <v>27</v>
      </c>
      <c r="C28" t="s">
        <v>11</v>
      </c>
      <c r="D28" s="4" t="s">
        <v>33</v>
      </c>
      <c r="E28" s="1">
        <v>1389</v>
      </c>
      <c r="F28">
        <v>1389</v>
      </c>
      <c r="G28" s="1">
        <v>10</v>
      </c>
      <c r="H28" s="1">
        <v>20</v>
      </c>
      <c r="I28" s="4" t="str">
        <f>TEXT(financials[[#This Row],[Schedule Delivery Date]],"mmmm")</f>
        <v>September</v>
      </c>
      <c r="J28">
        <f>YEAR(financials[[#This Row],[Schedule Delivery Date]])</f>
        <v>2025</v>
      </c>
      <c r="K28" s="9">
        <v>10</v>
      </c>
      <c r="L28" s="10">
        <v>45930</v>
      </c>
      <c r="M28" s="10">
        <v>45931</v>
      </c>
    </row>
    <row r="29" spans="1:13" x14ac:dyDescent="0.25">
      <c r="A29" t="s">
        <v>9</v>
      </c>
      <c r="B29">
        <v>28</v>
      </c>
      <c r="C29" t="s">
        <v>11</v>
      </c>
      <c r="D29" s="4" t="s">
        <v>35</v>
      </c>
      <c r="E29" s="1">
        <v>1389</v>
      </c>
      <c r="F29">
        <v>1389</v>
      </c>
      <c r="G29" s="1">
        <v>250</v>
      </c>
      <c r="H29" s="1">
        <v>20</v>
      </c>
      <c r="I29" s="4" t="str">
        <f>TEXT(financials[[#This Row],[Schedule Delivery Date]],"mmmm")</f>
        <v>September</v>
      </c>
      <c r="J29">
        <f>YEAR(financials[[#This Row],[Schedule Delivery Date]])</f>
        <v>2025</v>
      </c>
      <c r="K29" s="9">
        <v>10</v>
      </c>
      <c r="L29" s="10">
        <v>45930</v>
      </c>
      <c r="M29" s="10">
        <v>45931</v>
      </c>
    </row>
    <row r="30" spans="1:13" x14ac:dyDescent="0.25">
      <c r="A30" t="s">
        <v>6</v>
      </c>
      <c r="B30">
        <v>29</v>
      </c>
      <c r="C30" t="s">
        <v>14</v>
      </c>
      <c r="D30" s="4" t="s">
        <v>31</v>
      </c>
      <c r="E30" s="1">
        <v>1482</v>
      </c>
      <c r="F30">
        <v>494</v>
      </c>
      <c r="G30" s="1">
        <v>3</v>
      </c>
      <c r="H30" s="1">
        <v>300</v>
      </c>
      <c r="I30" s="4" t="str">
        <f>TEXT(financials[[#This Row],[Schedule Delivery Date]],"mmmm")</f>
        <v>September</v>
      </c>
      <c r="J30">
        <f>YEAR(financials[[#This Row],[Schedule Delivery Date]])</f>
        <v>2025</v>
      </c>
      <c r="K30" s="9">
        <v>10</v>
      </c>
      <c r="L30" s="10">
        <v>45930</v>
      </c>
      <c r="M30" s="10">
        <v>45936</v>
      </c>
    </row>
    <row r="31" spans="1:13" x14ac:dyDescent="0.25">
      <c r="A31" t="s">
        <v>6</v>
      </c>
      <c r="B31">
        <v>30</v>
      </c>
      <c r="C31" t="s">
        <v>14</v>
      </c>
      <c r="D31" s="4" t="s">
        <v>35</v>
      </c>
      <c r="E31" s="1">
        <v>1482</v>
      </c>
      <c r="F31">
        <v>494</v>
      </c>
      <c r="G31" s="1">
        <v>250</v>
      </c>
      <c r="H31" s="1">
        <v>300</v>
      </c>
      <c r="I31" s="4" t="str">
        <f>TEXT(financials[[#This Row],[Schedule Delivery Date]],"mmmm")</f>
        <v>September</v>
      </c>
      <c r="J31">
        <f>YEAR(financials[[#This Row],[Schedule Delivery Date]])</f>
        <v>2025</v>
      </c>
      <c r="K31" s="9">
        <v>10</v>
      </c>
      <c r="L31" s="10">
        <v>45930</v>
      </c>
      <c r="M31" s="10">
        <v>45931</v>
      </c>
    </row>
    <row r="32" spans="1:13" x14ac:dyDescent="0.25">
      <c r="A32" t="s">
        <v>10</v>
      </c>
      <c r="B32">
        <v>31</v>
      </c>
      <c r="C32" t="s">
        <v>12</v>
      </c>
      <c r="D32" s="4" t="s">
        <v>31</v>
      </c>
      <c r="E32" s="1">
        <v>1581.36</v>
      </c>
      <c r="F32">
        <v>1198</v>
      </c>
      <c r="G32" s="1">
        <v>3</v>
      </c>
      <c r="H32" s="1">
        <v>12</v>
      </c>
      <c r="I32" s="4" t="str">
        <f>TEXT(financials[[#This Row],[Schedule Delivery Date]],"mmmm")</f>
        <v>September</v>
      </c>
      <c r="J32">
        <f>YEAR(financials[[#This Row],[Schedule Delivery Date]])</f>
        <v>2025</v>
      </c>
      <c r="K32" s="9">
        <v>10</v>
      </c>
      <c r="L32" s="10">
        <v>45930</v>
      </c>
      <c r="M32" s="10">
        <v>45931</v>
      </c>
    </row>
    <row r="33" spans="1:13" x14ac:dyDescent="0.25">
      <c r="A33" t="s">
        <v>10</v>
      </c>
      <c r="B33">
        <v>32</v>
      </c>
      <c r="C33" t="s">
        <v>12</v>
      </c>
      <c r="D33" s="4" t="s">
        <v>33</v>
      </c>
      <c r="E33" s="1">
        <v>1581.36</v>
      </c>
      <c r="F33">
        <v>1198</v>
      </c>
      <c r="G33" s="1">
        <v>10</v>
      </c>
      <c r="H33" s="1">
        <v>12</v>
      </c>
      <c r="I33" s="4" t="str">
        <f>TEXT(financials[[#This Row],[Schedule Delivery Date]],"mmmm")</f>
        <v>September</v>
      </c>
      <c r="J33">
        <f>YEAR(financials[[#This Row],[Schedule Delivery Date]])</f>
        <v>2025</v>
      </c>
      <c r="K33" s="9">
        <v>10</v>
      </c>
      <c r="L33" s="10">
        <v>45930</v>
      </c>
      <c r="M33" s="10">
        <v>45932</v>
      </c>
    </row>
    <row r="34" spans="1:13" x14ac:dyDescent="0.25">
      <c r="A34" t="s">
        <v>10</v>
      </c>
      <c r="B34">
        <v>33</v>
      </c>
      <c r="C34" t="s">
        <v>11</v>
      </c>
      <c r="D34" s="4" t="s">
        <v>31</v>
      </c>
      <c r="E34" s="1">
        <v>1655.28</v>
      </c>
      <c r="F34">
        <v>2299</v>
      </c>
      <c r="G34" s="1">
        <v>3</v>
      </c>
      <c r="H34" s="1">
        <v>12</v>
      </c>
      <c r="I34" s="4" t="str">
        <f>TEXT(financials[[#This Row],[Schedule Delivery Date]],"mmmm")</f>
        <v>September</v>
      </c>
      <c r="J34">
        <f>YEAR(financials[[#This Row],[Schedule Delivery Date]])</f>
        <v>2025</v>
      </c>
      <c r="K34" s="9">
        <v>10</v>
      </c>
      <c r="L34" s="10">
        <v>45930</v>
      </c>
      <c r="M34" s="10">
        <v>45931</v>
      </c>
    </row>
    <row r="35" spans="1:13" x14ac:dyDescent="0.25">
      <c r="A35" t="s">
        <v>10</v>
      </c>
      <c r="B35">
        <v>34</v>
      </c>
      <c r="C35" t="s">
        <v>11</v>
      </c>
      <c r="D35" s="4" t="s">
        <v>33</v>
      </c>
      <c r="E35" s="1">
        <v>1655.28</v>
      </c>
      <c r="F35">
        <v>2299</v>
      </c>
      <c r="G35" s="1">
        <v>10</v>
      </c>
      <c r="H35" s="1">
        <v>12</v>
      </c>
      <c r="I35" s="4" t="str">
        <f>TEXT(financials[[#This Row],[Schedule Delivery Date]],"mmmm")</f>
        <v>September</v>
      </c>
      <c r="J35">
        <f>YEAR(financials[[#This Row],[Schedule Delivery Date]])</f>
        <v>2025</v>
      </c>
      <c r="K35" s="9">
        <v>10</v>
      </c>
      <c r="L35" s="10">
        <v>45930</v>
      </c>
      <c r="M35" s="10">
        <v>45931</v>
      </c>
    </row>
    <row r="36" spans="1:13" x14ac:dyDescent="0.25">
      <c r="A36" t="s">
        <v>9</v>
      </c>
      <c r="B36">
        <v>35</v>
      </c>
      <c r="C36" t="s">
        <v>14</v>
      </c>
      <c r="D36" s="4" t="s">
        <v>32</v>
      </c>
      <c r="E36" s="1">
        <v>1692.46</v>
      </c>
      <c r="F36">
        <v>1727</v>
      </c>
      <c r="G36" s="1">
        <v>5</v>
      </c>
      <c r="H36" s="1">
        <v>7</v>
      </c>
      <c r="I36" s="4" t="str">
        <f>TEXT(financials[[#This Row],[Schedule Delivery Date]],"mmmm")</f>
        <v>September</v>
      </c>
      <c r="J36">
        <f>YEAR(financials[[#This Row],[Schedule Delivery Date]])</f>
        <v>2025</v>
      </c>
      <c r="K36" s="9">
        <v>10</v>
      </c>
      <c r="L36" s="10">
        <v>45930</v>
      </c>
      <c r="M36" s="10">
        <v>45931</v>
      </c>
    </row>
    <row r="37" spans="1:13" x14ac:dyDescent="0.25">
      <c r="A37" t="s">
        <v>9</v>
      </c>
      <c r="B37">
        <v>36</v>
      </c>
      <c r="C37" t="s">
        <v>14</v>
      </c>
      <c r="D37" s="4" t="s">
        <v>36</v>
      </c>
      <c r="E37" s="1">
        <v>1692.46</v>
      </c>
      <c r="F37">
        <v>1727</v>
      </c>
      <c r="G37" s="1">
        <v>260</v>
      </c>
      <c r="H37" s="1">
        <v>7</v>
      </c>
      <c r="I37" s="4" t="str">
        <f>TEXT(financials[[#This Row],[Schedule Delivery Date]],"mmmm")</f>
        <v>September</v>
      </c>
      <c r="J37">
        <f>YEAR(financials[[#This Row],[Schedule Delivery Date]])</f>
        <v>2025</v>
      </c>
      <c r="K37" s="9">
        <v>10</v>
      </c>
      <c r="L37" s="10">
        <v>45930</v>
      </c>
      <c r="M37" s="10">
        <v>45932</v>
      </c>
    </row>
    <row r="38" spans="1:13" x14ac:dyDescent="0.25">
      <c r="A38" t="s">
        <v>8</v>
      </c>
      <c r="B38">
        <v>37</v>
      </c>
      <c r="C38" t="s">
        <v>13</v>
      </c>
      <c r="D38" s="4" t="s">
        <v>33</v>
      </c>
      <c r="E38" s="1">
        <v>2022.5</v>
      </c>
      <c r="F38">
        <v>809</v>
      </c>
      <c r="G38" s="1">
        <v>10</v>
      </c>
      <c r="H38" s="1">
        <v>125</v>
      </c>
      <c r="I38" s="4" t="str">
        <f>TEXT(financials[[#This Row],[Schedule Delivery Date]],"mmmm")</f>
        <v>November</v>
      </c>
      <c r="J38">
        <f>YEAR(financials[[#This Row],[Schedule Delivery Date]])</f>
        <v>2025</v>
      </c>
      <c r="K38" s="9">
        <v>10</v>
      </c>
      <c r="L38" s="10">
        <v>45968</v>
      </c>
      <c r="M38" s="10">
        <v>45965</v>
      </c>
    </row>
    <row r="39" spans="1:13" x14ac:dyDescent="0.25">
      <c r="A39" t="s">
        <v>8</v>
      </c>
      <c r="B39">
        <v>38</v>
      </c>
      <c r="C39" t="s">
        <v>13</v>
      </c>
      <c r="D39" s="4" t="s">
        <v>34</v>
      </c>
      <c r="E39" s="1">
        <v>2022.5</v>
      </c>
      <c r="F39">
        <v>809</v>
      </c>
      <c r="G39" s="1">
        <v>120</v>
      </c>
      <c r="H39" s="1">
        <v>125</v>
      </c>
      <c r="I39" s="4" t="str">
        <f>TEXT(financials[[#This Row],[Schedule Delivery Date]],"mmmm")</f>
        <v>January</v>
      </c>
      <c r="J39">
        <f>YEAR(financials[[#This Row],[Schedule Delivery Date]])</f>
        <v>2026</v>
      </c>
      <c r="K39" s="9">
        <v>10</v>
      </c>
      <c r="L39" s="10">
        <v>46025</v>
      </c>
      <c r="M39" s="10">
        <v>46029</v>
      </c>
    </row>
    <row r="40" spans="1:13" x14ac:dyDescent="0.25">
      <c r="A40" t="s">
        <v>9</v>
      </c>
      <c r="B40">
        <v>39</v>
      </c>
      <c r="C40" t="s">
        <v>12</v>
      </c>
      <c r="D40" s="4" t="s">
        <v>32</v>
      </c>
      <c r="E40" s="1">
        <v>2108.4</v>
      </c>
      <c r="F40">
        <v>1757</v>
      </c>
      <c r="G40" s="1">
        <v>5</v>
      </c>
      <c r="H40" s="1">
        <v>20</v>
      </c>
      <c r="I40" s="4" t="str">
        <f>TEXT(financials[[#This Row],[Schedule Delivery Date]],"mmmm")</f>
        <v>July</v>
      </c>
      <c r="J40">
        <f>YEAR(financials[[#This Row],[Schedule Delivery Date]])</f>
        <v>2025</v>
      </c>
      <c r="K40" s="9">
        <v>10</v>
      </c>
      <c r="L40" s="10">
        <v>45854</v>
      </c>
      <c r="M40" s="10">
        <v>45855</v>
      </c>
    </row>
    <row r="41" spans="1:13" x14ac:dyDescent="0.25">
      <c r="A41" t="s">
        <v>9</v>
      </c>
      <c r="B41">
        <v>40</v>
      </c>
      <c r="C41" t="s">
        <v>12</v>
      </c>
      <c r="D41" s="4" t="s">
        <v>33</v>
      </c>
      <c r="E41" s="1">
        <v>2108.4</v>
      </c>
      <c r="F41">
        <v>1757</v>
      </c>
      <c r="G41" s="1">
        <v>10</v>
      </c>
      <c r="H41" s="1">
        <v>20</v>
      </c>
      <c r="I41" s="4" t="str">
        <f>TEXT(financials[[#This Row],[Schedule Delivery Date]],"mmmm")</f>
        <v>January</v>
      </c>
      <c r="J41">
        <f>YEAR(financials[[#This Row],[Schedule Delivery Date]])</f>
        <v>2026</v>
      </c>
      <c r="K41" s="9">
        <v>10</v>
      </c>
      <c r="L41" s="10">
        <v>46034</v>
      </c>
      <c r="M41" s="10">
        <v>46034</v>
      </c>
    </row>
    <row r="42" spans="1:13" x14ac:dyDescent="0.25">
      <c r="A42" t="s">
        <v>9</v>
      </c>
      <c r="B42">
        <v>41</v>
      </c>
      <c r="C42" t="s">
        <v>52</v>
      </c>
      <c r="D42" s="4" t="s">
        <v>31</v>
      </c>
      <c r="E42" s="1">
        <v>2936.08</v>
      </c>
      <c r="F42">
        <v>2996</v>
      </c>
      <c r="G42" s="1">
        <v>3</v>
      </c>
      <c r="H42" s="1">
        <v>7</v>
      </c>
      <c r="I42" s="4" t="str">
        <f>TEXT(financials[[#This Row],[Schedule Delivery Date]],"mmmm")</f>
        <v>January</v>
      </c>
      <c r="J42">
        <f>YEAR(financials[[#This Row],[Schedule Delivery Date]])</f>
        <v>2026</v>
      </c>
      <c r="K42" s="9">
        <v>10</v>
      </c>
      <c r="L42" s="10">
        <v>46037</v>
      </c>
      <c r="M42" s="10">
        <v>46037</v>
      </c>
    </row>
    <row r="43" spans="1:13" x14ac:dyDescent="0.25">
      <c r="A43" t="s">
        <v>9</v>
      </c>
      <c r="B43">
        <v>42</v>
      </c>
      <c r="C43" t="s">
        <v>52</v>
      </c>
      <c r="D43" s="4" t="s">
        <v>32</v>
      </c>
      <c r="E43" s="1">
        <v>2936.08</v>
      </c>
      <c r="F43">
        <v>2996</v>
      </c>
      <c r="G43" s="1">
        <v>5</v>
      </c>
      <c r="H43" s="1">
        <v>7</v>
      </c>
      <c r="I43" s="4" t="str">
        <f>TEXT(financials[[#This Row],[Schedule Delivery Date]],"mmmm")</f>
        <v>January</v>
      </c>
      <c r="J43">
        <f>YEAR(financials[[#This Row],[Schedule Delivery Date]])</f>
        <v>2026</v>
      </c>
      <c r="K43" s="9">
        <v>10</v>
      </c>
      <c r="L43" s="10">
        <v>46033</v>
      </c>
      <c r="M43" s="10">
        <v>46029</v>
      </c>
    </row>
    <row r="44" spans="1:13" x14ac:dyDescent="0.25">
      <c r="A44" t="s">
        <v>7</v>
      </c>
      <c r="B44">
        <v>43</v>
      </c>
      <c r="C44" t="s">
        <v>12</v>
      </c>
      <c r="D44" s="4" t="s">
        <v>33</v>
      </c>
      <c r="E44" s="1">
        <v>3250.5</v>
      </c>
      <c r="F44">
        <v>2167</v>
      </c>
      <c r="G44" s="1">
        <v>10</v>
      </c>
      <c r="H44" s="1">
        <v>15</v>
      </c>
      <c r="I44" s="4" t="str">
        <f>TEXT(financials[[#This Row],[Schedule Delivery Date]],"mmmm")</f>
        <v>January</v>
      </c>
      <c r="J44">
        <f>YEAR(financials[[#This Row],[Schedule Delivery Date]])</f>
        <v>2026</v>
      </c>
      <c r="K44" s="9">
        <v>10</v>
      </c>
      <c r="L44" s="10">
        <v>46037</v>
      </c>
      <c r="M44" s="10"/>
    </row>
    <row r="45" spans="1:13" x14ac:dyDescent="0.25">
      <c r="A45" t="s">
        <v>7</v>
      </c>
      <c r="B45">
        <v>44</v>
      </c>
      <c r="C45" t="s">
        <v>12</v>
      </c>
      <c r="D45" s="4" t="s">
        <v>35</v>
      </c>
      <c r="E45" s="1">
        <v>3250.5</v>
      </c>
      <c r="F45">
        <v>2167</v>
      </c>
      <c r="G45" s="1">
        <v>250</v>
      </c>
      <c r="H45" s="1">
        <v>15</v>
      </c>
      <c r="I45" s="4" t="str">
        <f>TEXT(financials[[#This Row],[Schedule Delivery Date]],"mmmm")</f>
        <v>January</v>
      </c>
      <c r="J45">
        <f>YEAR(financials[[#This Row],[Schedule Delivery Date]])</f>
        <v>2026</v>
      </c>
      <c r="K45" s="9">
        <v>10</v>
      </c>
      <c r="L45" s="10">
        <v>46033</v>
      </c>
      <c r="M45" s="10">
        <v>46027</v>
      </c>
    </row>
    <row r="46" spans="1:13" x14ac:dyDescent="0.25">
      <c r="A46" t="s">
        <v>7</v>
      </c>
      <c r="B46">
        <v>45</v>
      </c>
      <c r="C46" t="s">
        <v>11</v>
      </c>
      <c r="D46" s="4" t="s">
        <v>33</v>
      </c>
      <c r="E46" s="1">
        <v>3660.3</v>
      </c>
      <c r="F46">
        <v>1743</v>
      </c>
      <c r="G46" s="1">
        <v>10</v>
      </c>
      <c r="H46" s="1">
        <v>15</v>
      </c>
      <c r="I46" s="4" t="str">
        <f>TEXT(financials[[#This Row],[Schedule Delivery Date]],"mmmm")</f>
        <v>January</v>
      </c>
      <c r="J46">
        <f>YEAR(financials[[#This Row],[Schedule Delivery Date]])</f>
        <v>2026</v>
      </c>
      <c r="K46" s="9">
        <v>10</v>
      </c>
      <c r="L46" s="10">
        <v>46033</v>
      </c>
      <c r="M46" s="10">
        <v>46028</v>
      </c>
    </row>
    <row r="47" spans="1:13" x14ac:dyDescent="0.25">
      <c r="A47" t="s">
        <v>7</v>
      </c>
      <c r="B47">
        <v>46</v>
      </c>
      <c r="C47" t="s">
        <v>11</v>
      </c>
      <c r="D47" s="4" t="s">
        <v>36</v>
      </c>
      <c r="E47" s="1">
        <v>3660.3</v>
      </c>
      <c r="F47">
        <v>1743</v>
      </c>
      <c r="G47" s="1">
        <v>260</v>
      </c>
      <c r="H47" s="1">
        <v>15</v>
      </c>
      <c r="I47" s="4" t="str">
        <f>TEXT(financials[[#This Row],[Schedule Delivery Date]],"mmmm")</f>
        <v>January</v>
      </c>
      <c r="J47">
        <f>YEAR(financials[[#This Row],[Schedule Delivery Date]])</f>
        <v>2026</v>
      </c>
      <c r="K47" s="9">
        <v>10</v>
      </c>
      <c r="L47" s="10">
        <v>46033</v>
      </c>
      <c r="M47" s="10">
        <v>46029</v>
      </c>
    </row>
    <row r="48" spans="1:13" x14ac:dyDescent="0.25">
      <c r="A48" t="s">
        <v>9</v>
      </c>
      <c r="B48">
        <v>47</v>
      </c>
      <c r="C48" t="s">
        <v>14</v>
      </c>
      <c r="D48" s="4" t="s">
        <v>32</v>
      </c>
      <c r="E48" s="1">
        <v>4116</v>
      </c>
      <c r="F48">
        <v>1715</v>
      </c>
      <c r="G48" s="1">
        <v>5</v>
      </c>
      <c r="H48" s="1">
        <v>20</v>
      </c>
      <c r="I48" s="4" t="str">
        <f>TEXT(financials[[#This Row],[Schedule Delivery Date]],"mmmm")</f>
        <v>September</v>
      </c>
      <c r="J48">
        <f>YEAR(financials[[#This Row],[Schedule Delivery Date]])</f>
        <v>2025</v>
      </c>
      <c r="K48" s="9">
        <v>10</v>
      </c>
      <c r="L48" s="10">
        <v>45917</v>
      </c>
      <c r="M48" s="10">
        <v>45916</v>
      </c>
    </row>
    <row r="49" spans="1:13" x14ac:dyDescent="0.25">
      <c r="A49" t="s">
        <v>9</v>
      </c>
      <c r="B49">
        <v>48</v>
      </c>
      <c r="C49" t="s">
        <v>14</v>
      </c>
      <c r="D49" s="4" t="s">
        <v>33</v>
      </c>
      <c r="E49" s="1">
        <v>4116</v>
      </c>
      <c r="F49">
        <v>1715</v>
      </c>
      <c r="G49" s="1">
        <v>10</v>
      </c>
      <c r="H49" s="1">
        <v>20</v>
      </c>
      <c r="I49" s="4" t="str">
        <f>TEXT(financials[[#This Row],[Schedule Delivery Date]],"mmmm")</f>
        <v>March</v>
      </c>
      <c r="J49">
        <f>YEAR(financials[[#This Row],[Schedule Delivery Date]])</f>
        <v>2026</v>
      </c>
      <c r="K49" s="9">
        <v>10</v>
      </c>
      <c r="L49" s="12">
        <v>46095</v>
      </c>
      <c r="M49" s="10"/>
    </row>
    <row r="50" spans="1:13" x14ac:dyDescent="0.25">
      <c r="A50" t="s">
        <v>8</v>
      </c>
      <c r="B50">
        <v>49</v>
      </c>
      <c r="C50" t="s">
        <v>12</v>
      </c>
      <c r="D50" s="4" t="s">
        <v>33</v>
      </c>
      <c r="E50" s="1">
        <v>4400</v>
      </c>
      <c r="F50">
        <v>704</v>
      </c>
      <c r="G50" s="1">
        <v>10</v>
      </c>
      <c r="H50" s="1">
        <v>125</v>
      </c>
      <c r="I50" s="4" t="str">
        <f>TEXT(financials[[#This Row],[Schedule Delivery Date]],"mmmm")</f>
        <v>November</v>
      </c>
      <c r="J50">
        <f>YEAR(financials[[#This Row],[Schedule Delivery Date]])</f>
        <v>2025</v>
      </c>
      <c r="K50" s="9">
        <v>10</v>
      </c>
      <c r="L50" s="10">
        <v>45972</v>
      </c>
      <c r="M50" s="10">
        <v>45997</v>
      </c>
    </row>
    <row r="51" spans="1:13" x14ac:dyDescent="0.25">
      <c r="A51" t="s">
        <v>8</v>
      </c>
      <c r="B51">
        <v>50</v>
      </c>
      <c r="C51" t="s">
        <v>12</v>
      </c>
      <c r="D51" s="4" t="s">
        <v>34</v>
      </c>
      <c r="E51" s="1">
        <v>4400</v>
      </c>
      <c r="F51">
        <v>704</v>
      </c>
      <c r="G51" s="1">
        <v>120</v>
      </c>
      <c r="H51" s="1">
        <v>125</v>
      </c>
      <c r="I51" s="4" t="str">
        <f>TEXT(financials[[#This Row],[Schedule Delivery Date]],"mmmm")</f>
        <v>November</v>
      </c>
      <c r="J51">
        <f>YEAR(financials[[#This Row],[Schedule Delivery Date]])</f>
        <v>2025</v>
      </c>
      <c r="K51" s="9">
        <v>10</v>
      </c>
      <c r="L51" s="10">
        <v>45987</v>
      </c>
      <c r="M51" s="10">
        <v>45994</v>
      </c>
    </row>
    <row r="52" spans="1:13" x14ac:dyDescent="0.25">
      <c r="A52" t="s">
        <v>8</v>
      </c>
      <c r="B52">
        <v>51</v>
      </c>
      <c r="C52" t="s">
        <v>14</v>
      </c>
      <c r="D52" s="4" t="s">
        <v>33</v>
      </c>
      <c r="E52" s="1">
        <v>5362.5</v>
      </c>
      <c r="F52">
        <v>2145</v>
      </c>
      <c r="G52" s="1">
        <v>10</v>
      </c>
      <c r="H52" s="1">
        <v>125</v>
      </c>
      <c r="I52" s="4" t="str">
        <f>TEXT(financials[[#This Row],[Schedule Delivery Date]],"mmmm")</f>
        <v>December</v>
      </c>
      <c r="J52">
        <f>YEAR(financials[[#This Row],[Schedule Delivery Date]])</f>
        <v>2025</v>
      </c>
      <c r="K52" s="9">
        <v>10</v>
      </c>
      <c r="L52" s="10">
        <v>45994</v>
      </c>
      <c r="M52" s="10">
        <v>46020</v>
      </c>
    </row>
    <row r="53" spans="1:13" x14ac:dyDescent="0.25">
      <c r="A53" t="s">
        <v>8</v>
      </c>
      <c r="B53">
        <v>52</v>
      </c>
      <c r="C53" t="s">
        <v>14</v>
      </c>
      <c r="D53" s="4" t="s">
        <v>34</v>
      </c>
      <c r="E53" s="1">
        <v>5362.5</v>
      </c>
      <c r="F53">
        <v>2145</v>
      </c>
      <c r="G53" s="1">
        <v>120</v>
      </c>
      <c r="H53" s="1">
        <v>125</v>
      </c>
      <c r="I53" s="4" t="str">
        <f>TEXT(financials[[#This Row],[Schedule Delivery Date]],"mmmm")</f>
        <v>December</v>
      </c>
      <c r="J53">
        <f>YEAR(financials[[#This Row],[Schedule Delivery Date]])</f>
        <v>2025</v>
      </c>
      <c r="K53" s="9">
        <v>10</v>
      </c>
      <c r="L53" s="10">
        <v>45994</v>
      </c>
      <c r="M53" s="10">
        <v>45994</v>
      </c>
    </row>
    <row r="54" spans="1:13" x14ac:dyDescent="0.25">
      <c r="A54" t="s">
        <v>9</v>
      </c>
      <c r="B54">
        <v>53</v>
      </c>
      <c r="C54" t="s">
        <v>13</v>
      </c>
      <c r="D54" s="4" t="s">
        <v>32</v>
      </c>
      <c r="E54" s="1">
        <v>6582.4</v>
      </c>
      <c r="F54">
        <v>2992</v>
      </c>
      <c r="G54" s="1">
        <v>5</v>
      </c>
      <c r="H54" s="1">
        <v>20</v>
      </c>
      <c r="I54" s="4" t="str">
        <f>TEXT(financials[[#This Row],[Schedule Delivery Date]],"mmmm")</f>
        <v>December</v>
      </c>
      <c r="J54">
        <f>YEAR(financials[[#This Row],[Schedule Delivery Date]])</f>
        <v>2025</v>
      </c>
      <c r="K54" s="9">
        <v>10</v>
      </c>
      <c r="L54" s="10">
        <v>45994</v>
      </c>
      <c r="M54" s="10">
        <v>45994</v>
      </c>
    </row>
    <row r="55" spans="1:13" x14ac:dyDescent="0.25">
      <c r="A55" t="s">
        <v>9</v>
      </c>
      <c r="B55">
        <v>54</v>
      </c>
      <c r="C55" t="s">
        <v>13</v>
      </c>
      <c r="D55" s="4" t="s">
        <v>33</v>
      </c>
      <c r="E55" s="1">
        <v>6582.4</v>
      </c>
      <c r="F55">
        <v>2992</v>
      </c>
      <c r="G55" s="1">
        <v>10</v>
      </c>
      <c r="H55" s="1">
        <v>20</v>
      </c>
      <c r="I55" s="4" t="str">
        <f>TEXT(financials[[#This Row],[Schedule Delivery Date]],"mmmm")</f>
        <v>December</v>
      </c>
      <c r="J55">
        <f>YEAR(financials[[#This Row],[Schedule Delivery Date]])</f>
        <v>2025</v>
      </c>
      <c r="K55" s="9">
        <v>10</v>
      </c>
      <c r="L55" s="10">
        <v>45996</v>
      </c>
      <c r="M55" s="10">
        <v>46011</v>
      </c>
    </row>
    <row r="56" spans="1:13" x14ac:dyDescent="0.25">
      <c r="A56" t="s">
        <v>6</v>
      </c>
      <c r="B56">
        <v>55</v>
      </c>
      <c r="C56" t="s">
        <v>11</v>
      </c>
      <c r="D56" s="4" t="s">
        <v>34</v>
      </c>
      <c r="E56" s="1">
        <v>11298</v>
      </c>
      <c r="F56">
        <v>269</v>
      </c>
      <c r="G56" s="1">
        <v>120</v>
      </c>
      <c r="H56" s="1">
        <v>300</v>
      </c>
      <c r="I56" s="4" t="str">
        <f>TEXT(financials[[#This Row],[Schedule Delivery Date]],"mmmm")</f>
        <v>December</v>
      </c>
      <c r="J56">
        <f>YEAR(financials[[#This Row],[Schedule Delivery Date]])</f>
        <v>2025</v>
      </c>
      <c r="K56" s="9">
        <v>10</v>
      </c>
      <c r="L56" s="10">
        <v>46001</v>
      </c>
      <c r="M56" s="10">
        <v>46018</v>
      </c>
    </row>
    <row r="57" spans="1:13" x14ac:dyDescent="0.25">
      <c r="A57" t="s">
        <v>6</v>
      </c>
      <c r="B57">
        <v>56</v>
      </c>
      <c r="C57" t="s">
        <v>11</v>
      </c>
      <c r="D57" s="4" t="s">
        <v>35</v>
      </c>
      <c r="E57" s="1">
        <v>11298</v>
      </c>
      <c r="F57">
        <v>269</v>
      </c>
      <c r="G57" s="1">
        <v>250</v>
      </c>
      <c r="H57" s="1">
        <v>300</v>
      </c>
      <c r="I57" s="4" t="str">
        <f>TEXT(financials[[#This Row],[Schedule Delivery Date]],"mmmm")</f>
        <v>December</v>
      </c>
      <c r="J57">
        <f>YEAR(financials[[#This Row],[Schedule Delivery Date]])</f>
        <v>2025</v>
      </c>
      <c r="K57" s="9">
        <v>10</v>
      </c>
      <c r="L57" s="10">
        <v>46001</v>
      </c>
      <c r="M57" s="10">
        <v>46019</v>
      </c>
    </row>
    <row r="58" spans="1:13" x14ac:dyDescent="0.25">
      <c r="A58" t="s">
        <v>9</v>
      </c>
      <c r="B58">
        <v>57</v>
      </c>
      <c r="C58" t="s">
        <v>14</v>
      </c>
      <c r="D58" s="4" t="s">
        <v>34</v>
      </c>
      <c r="E58" s="1">
        <v>13244</v>
      </c>
      <c r="F58">
        <v>344</v>
      </c>
      <c r="G58" s="1">
        <v>120</v>
      </c>
      <c r="H58" s="1">
        <v>350</v>
      </c>
      <c r="I58" s="4" t="str">
        <f>TEXT(financials[[#This Row],[Schedule Delivery Date]],"mmmm")</f>
        <v>December</v>
      </c>
      <c r="J58">
        <f>YEAR(financials[[#This Row],[Schedule Delivery Date]])</f>
        <v>2025</v>
      </c>
      <c r="K58" s="9">
        <v>10</v>
      </c>
      <c r="L58" s="10">
        <v>46001</v>
      </c>
      <c r="M58" s="10">
        <v>45996</v>
      </c>
    </row>
    <row r="59" spans="1:13" x14ac:dyDescent="0.25">
      <c r="A59" t="s">
        <v>9</v>
      </c>
      <c r="B59">
        <v>58</v>
      </c>
      <c r="C59" t="s">
        <v>14</v>
      </c>
      <c r="D59" s="4" t="s">
        <v>36</v>
      </c>
      <c r="E59" s="1">
        <v>13244</v>
      </c>
      <c r="F59">
        <v>344</v>
      </c>
      <c r="G59" s="1">
        <v>260</v>
      </c>
      <c r="H59" s="1">
        <v>350</v>
      </c>
      <c r="I59" s="4" t="str">
        <f>TEXT(financials[[#This Row],[Schedule Delivery Date]],"mmmm")</f>
        <v>December</v>
      </c>
      <c r="J59">
        <f>YEAR(financials[[#This Row],[Schedule Delivery Date]])</f>
        <v>2025</v>
      </c>
      <c r="K59" s="9">
        <v>10</v>
      </c>
      <c r="L59" s="10">
        <v>46001</v>
      </c>
      <c r="M59" s="10">
        <v>45998</v>
      </c>
    </row>
    <row r="60" spans="1:13" x14ac:dyDescent="0.25">
      <c r="A60" t="s">
        <v>9</v>
      </c>
      <c r="B60">
        <v>59</v>
      </c>
      <c r="C60" t="s">
        <v>52</v>
      </c>
      <c r="D60" s="4" t="s">
        <v>33</v>
      </c>
      <c r="E60" s="1">
        <v>15267</v>
      </c>
      <c r="F60">
        <v>727</v>
      </c>
      <c r="G60" s="1">
        <v>10</v>
      </c>
      <c r="H60" s="1">
        <v>350</v>
      </c>
      <c r="I60" s="4" t="str">
        <f>TEXT(financials[[#This Row],[Schedule Delivery Date]],"mmmm")</f>
        <v>December</v>
      </c>
      <c r="J60">
        <f>YEAR(financials[[#This Row],[Schedule Delivery Date]])</f>
        <v>2025</v>
      </c>
      <c r="K60" s="9">
        <v>10</v>
      </c>
      <c r="L60" s="10">
        <v>46003</v>
      </c>
      <c r="M60" s="10">
        <v>46022</v>
      </c>
    </row>
    <row r="61" spans="1:13" x14ac:dyDescent="0.25">
      <c r="A61" t="s">
        <v>9</v>
      </c>
      <c r="B61">
        <v>60</v>
      </c>
      <c r="C61" t="s">
        <v>52</v>
      </c>
      <c r="D61" s="4" t="s">
        <v>36</v>
      </c>
      <c r="E61" s="1">
        <v>15267</v>
      </c>
      <c r="F61">
        <v>727</v>
      </c>
      <c r="G61" s="1">
        <v>260</v>
      </c>
      <c r="H61" s="1">
        <v>350</v>
      </c>
      <c r="I61" s="4" t="str">
        <f>TEXT(financials[[#This Row],[Schedule Delivery Date]],"mmmm")</f>
        <v>December</v>
      </c>
      <c r="J61">
        <f>YEAR(financials[[#This Row],[Schedule Delivery Date]])</f>
        <v>2025</v>
      </c>
      <c r="K61" s="9">
        <v>10</v>
      </c>
      <c r="L61" s="10">
        <v>46003</v>
      </c>
      <c r="M61" s="10">
        <v>46008</v>
      </c>
    </row>
    <row r="62" spans="1:13" x14ac:dyDescent="0.25">
      <c r="A62" t="s">
        <v>9</v>
      </c>
      <c r="B62">
        <v>61</v>
      </c>
      <c r="C62" t="s">
        <v>13</v>
      </c>
      <c r="D62" s="4" t="s">
        <v>34</v>
      </c>
      <c r="E62" s="1">
        <v>20762</v>
      </c>
      <c r="F62">
        <v>2966</v>
      </c>
      <c r="G62" s="1">
        <v>120</v>
      </c>
      <c r="H62" s="1">
        <v>350</v>
      </c>
      <c r="I62" s="4" t="str">
        <f>TEXT(financials[[#This Row],[Schedule Delivery Date]],"mmmm")</f>
        <v>December</v>
      </c>
      <c r="J62">
        <f>YEAR(financials[[#This Row],[Schedule Delivery Date]])</f>
        <v>2025</v>
      </c>
      <c r="K62" s="9">
        <v>10</v>
      </c>
      <c r="L62" s="10">
        <v>46003</v>
      </c>
      <c r="M62" s="10">
        <v>46008</v>
      </c>
    </row>
    <row r="63" spans="1:13" x14ac:dyDescent="0.25">
      <c r="A63" t="s">
        <v>9</v>
      </c>
      <c r="B63">
        <v>62</v>
      </c>
      <c r="C63" t="s">
        <v>13</v>
      </c>
      <c r="D63" s="4" t="s">
        <v>36</v>
      </c>
      <c r="E63" s="1">
        <v>20762</v>
      </c>
      <c r="F63">
        <v>2966</v>
      </c>
      <c r="G63" s="1">
        <v>260</v>
      </c>
      <c r="H63" s="1">
        <v>350</v>
      </c>
      <c r="I63" s="4" t="str">
        <f>TEXT(financials[[#This Row],[Schedule Delivery Date]],"mmmm")</f>
        <v>December</v>
      </c>
      <c r="J63">
        <f>YEAR(financials[[#This Row],[Schedule Delivery Date]])</f>
        <v>2025</v>
      </c>
      <c r="K63" s="9">
        <v>10</v>
      </c>
      <c r="L63" s="10">
        <v>46003</v>
      </c>
      <c r="M63" s="10">
        <v>46004</v>
      </c>
    </row>
    <row r="64" spans="1:13" x14ac:dyDescent="0.25">
      <c r="A64" t="s">
        <v>9</v>
      </c>
      <c r="B64">
        <v>63</v>
      </c>
      <c r="C64" t="s">
        <v>11</v>
      </c>
      <c r="D64" s="4" t="s">
        <v>33</v>
      </c>
      <c r="E64" s="1">
        <v>21490</v>
      </c>
      <c r="F64">
        <v>1228</v>
      </c>
      <c r="G64" s="1">
        <v>10</v>
      </c>
      <c r="H64" s="1">
        <v>350</v>
      </c>
      <c r="I64" s="4" t="str">
        <f>TEXT(financials[[#This Row],[Schedule Delivery Date]],"mmmm")</f>
        <v>December</v>
      </c>
      <c r="J64">
        <f>YEAR(financials[[#This Row],[Schedule Delivery Date]])</f>
        <v>2025</v>
      </c>
      <c r="K64" s="9">
        <v>10</v>
      </c>
      <c r="L64" s="10">
        <v>46006</v>
      </c>
      <c r="M64" s="10">
        <v>46011</v>
      </c>
    </row>
    <row r="65" spans="1:13" x14ac:dyDescent="0.25">
      <c r="A65" t="s">
        <v>9</v>
      </c>
      <c r="B65">
        <v>64</v>
      </c>
      <c r="C65" t="s">
        <v>11</v>
      </c>
      <c r="D65" s="4" t="s">
        <v>36</v>
      </c>
      <c r="E65" s="1">
        <v>21490</v>
      </c>
      <c r="F65">
        <v>1228</v>
      </c>
      <c r="G65" s="1">
        <v>260</v>
      </c>
      <c r="H65" s="1">
        <v>350</v>
      </c>
      <c r="I65" s="4" t="str">
        <f>TEXT(financials[[#This Row],[Schedule Delivery Date]],"mmmm")</f>
        <v>December</v>
      </c>
      <c r="J65">
        <f>YEAR(financials[[#This Row],[Schedule Delivery Date]])</f>
        <v>2025</v>
      </c>
      <c r="K65" s="9">
        <v>10</v>
      </c>
      <c r="L65" s="10">
        <v>46007</v>
      </c>
      <c r="M65" s="10">
        <v>45998</v>
      </c>
    </row>
    <row r="66" spans="1:13" x14ac:dyDescent="0.25">
      <c r="A66" t="s">
        <v>6</v>
      </c>
      <c r="B66">
        <v>65</v>
      </c>
      <c r="C66" t="s">
        <v>12</v>
      </c>
      <c r="D66" s="4" t="s">
        <v>34</v>
      </c>
      <c r="E66" s="1">
        <v>21978</v>
      </c>
      <c r="F66">
        <v>1221</v>
      </c>
      <c r="G66" s="1">
        <v>120</v>
      </c>
      <c r="H66" s="1">
        <v>300</v>
      </c>
      <c r="I66" s="4" t="str">
        <f>TEXT(financials[[#This Row],[Schedule Delivery Date]],"mmmm")</f>
        <v>December</v>
      </c>
      <c r="J66">
        <f>YEAR(financials[[#This Row],[Schedule Delivery Date]])</f>
        <v>2025</v>
      </c>
      <c r="K66" s="9">
        <v>10</v>
      </c>
      <c r="L66" s="10">
        <v>46007</v>
      </c>
      <c r="M66" s="10">
        <v>46001</v>
      </c>
    </row>
    <row r="67" spans="1:13" x14ac:dyDescent="0.25">
      <c r="A67" t="s">
        <v>6</v>
      </c>
      <c r="B67">
        <v>66</v>
      </c>
      <c r="C67" t="s">
        <v>12</v>
      </c>
      <c r="D67" s="4" t="s">
        <v>35</v>
      </c>
      <c r="E67" s="1">
        <v>21978</v>
      </c>
      <c r="F67">
        <v>1221</v>
      </c>
      <c r="G67" s="1">
        <v>250</v>
      </c>
      <c r="H67" s="1">
        <v>300</v>
      </c>
      <c r="I67" s="4" t="str">
        <f>TEXT(financials[[#This Row],[Schedule Delivery Date]],"mmmm")</f>
        <v>December</v>
      </c>
      <c r="J67">
        <f>YEAR(financials[[#This Row],[Schedule Delivery Date]])</f>
        <v>2025</v>
      </c>
      <c r="K67" s="9">
        <v>10</v>
      </c>
      <c r="L67" s="10">
        <v>46008</v>
      </c>
      <c r="M67" s="10">
        <v>45999</v>
      </c>
    </row>
    <row r="68" spans="1:13" x14ac:dyDescent="0.25">
      <c r="A68" t="s">
        <v>9</v>
      </c>
      <c r="B68">
        <v>67</v>
      </c>
      <c r="C68" t="s">
        <v>12</v>
      </c>
      <c r="D68" s="4" t="s">
        <v>34</v>
      </c>
      <c r="E68" s="1">
        <v>43596</v>
      </c>
      <c r="F68">
        <v>2076</v>
      </c>
      <c r="G68" s="1">
        <v>120</v>
      </c>
      <c r="H68" s="1">
        <v>350</v>
      </c>
      <c r="I68" s="4" t="str">
        <f>TEXT(financials[[#This Row],[Schedule Delivery Date]],"mmmm")</f>
        <v>December</v>
      </c>
      <c r="J68">
        <f>YEAR(financials[[#This Row],[Schedule Delivery Date]])</f>
        <v>2025</v>
      </c>
      <c r="K68" s="9">
        <v>10</v>
      </c>
      <c r="L68" s="10">
        <v>46008</v>
      </c>
      <c r="M68" s="10">
        <v>46000</v>
      </c>
    </row>
    <row r="69" spans="1:13" x14ac:dyDescent="0.25">
      <c r="A69" t="s">
        <v>9</v>
      </c>
      <c r="B69">
        <v>68</v>
      </c>
      <c r="C69" t="s">
        <v>12</v>
      </c>
      <c r="D69" s="4" t="s">
        <v>36</v>
      </c>
      <c r="E69" s="1">
        <v>43596</v>
      </c>
      <c r="F69">
        <v>2076</v>
      </c>
      <c r="G69" s="1">
        <v>260</v>
      </c>
      <c r="H69" s="1">
        <v>350</v>
      </c>
      <c r="I69" s="4" t="str">
        <f>TEXT(financials[[#This Row],[Schedule Delivery Date]],"mmmm")</f>
        <v>December</v>
      </c>
      <c r="J69">
        <f>YEAR(financials[[#This Row],[Schedule Delivery Date]])</f>
        <v>2025</v>
      </c>
      <c r="K69" s="9">
        <v>10</v>
      </c>
      <c r="L69" s="10">
        <v>46009</v>
      </c>
      <c r="M69" s="10">
        <v>46009</v>
      </c>
    </row>
    <row r="70" spans="1:13" x14ac:dyDescent="0.25">
      <c r="A70" t="s">
        <v>6</v>
      </c>
      <c r="B70">
        <v>69</v>
      </c>
      <c r="C70" t="s">
        <v>52</v>
      </c>
      <c r="D70" s="4" t="s">
        <v>34</v>
      </c>
      <c r="E70" s="1">
        <v>68820</v>
      </c>
      <c r="F70">
        <v>2294</v>
      </c>
      <c r="G70" s="1">
        <v>120</v>
      </c>
      <c r="H70" s="1">
        <v>300</v>
      </c>
      <c r="I70" s="4" t="str">
        <f>TEXT(financials[[#This Row],[Schedule Delivery Date]],"mmmm")</f>
        <v>December</v>
      </c>
      <c r="J70">
        <f>YEAR(financials[[#This Row],[Schedule Delivery Date]])</f>
        <v>2025</v>
      </c>
      <c r="K70" s="9">
        <v>10</v>
      </c>
      <c r="L70" s="10">
        <v>46009</v>
      </c>
      <c r="M70" s="10">
        <v>46006</v>
      </c>
    </row>
    <row r="71" spans="1:13" x14ac:dyDescent="0.25">
      <c r="A71" t="s">
        <v>6</v>
      </c>
      <c r="B71">
        <v>70</v>
      </c>
      <c r="C71" t="s">
        <v>52</v>
      </c>
      <c r="D71" s="4" t="s">
        <v>35</v>
      </c>
      <c r="E71" s="1">
        <v>68820</v>
      </c>
      <c r="F71">
        <v>2294</v>
      </c>
      <c r="G71" s="1">
        <v>250</v>
      </c>
      <c r="H71" s="1">
        <v>300</v>
      </c>
      <c r="I71" s="4" t="str">
        <f>TEXT(financials[[#This Row],[Schedule Delivery Date]],"mmmm")</f>
        <v>December</v>
      </c>
      <c r="J71">
        <f>YEAR(financials[[#This Row],[Schedule Delivery Date]])</f>
        <v>2025</v>
      </c>
      <c r="K71" s="9">
        <v>10</v>
      </c>
      <c r="L71" s="10">
        <v>46009</v>
      </c>
      <c r="M71" s="10">
        <v>46018</v>
      </c>
    </row>
    <row r="72" spans="1:13" x14ac:dyDescent="0.25">
      <c r="A72" t="s">
        <v>9</v>
      </c>
      <c r="B72">
        <v>71</v>
      </c>
      <c r="C72" t="s">
        <v>11</v>
      </c>
      <c r="D72" s="4" t="s">
        <v>33</v>
      </c>
      <c r="E72" s="1">
        <v>0</v>
      </c>
      <c r="F72">
        <v>1725</v>
      </c>
      <c r="G72" s="1">
        <v>10</v>
      </c>
      <c r="H72" s="1">
        <v>350</v>
      </c>
      <c r="I72" s="4" t="str">
        <f>TEXT(financials[[#This Row],[Schedule Delivery Date]],"mmmm")</f>
        <v>December</v>
      </c>
      <c r="J72">
        <f>YEAR(financials[[#This Row],[Schedule Delivery Date]])</f>
        <v>2025</v>
      </c>
      <c r="K72" s="9">
        <v>11</v>
      </c>
      <c r="L72" s="10">
        <v>46010</v>
      </c>
      <c r="M72" s="10">
        <v>46010</v>
      </c>
    </row>
    <row r="73" spans="1:13" x14ac:dyDescent="0.25">
      <c r="A73" t="s">
        <v>10</v>
      </c>
      <c r="B73">
        <v>72</v>
      </c>
      <c r="C73" t="s">
        <v>52</v>
      </c>
      <c r="D73" s="4" t="s">
        <v>33</v>
      </c>
      <c r="E73" s="1">
        <v>0</v>
      </c>
      <c r="F73">
        <v>912</v>
      </c>
      <c r="G73" s="1">
        <v>10</v>
      </c>
      <c r="H73" s="1">
        <v>12</v>
      </c>
      <c r="I73" s="4" t="str">
        <f>TEXT(financials[[#This Row],[Schedule Delivery Date]],"mmmm")</f>
        <v>December</v>
      </c>
      <c r="J73">
        <f>YEAR(financials[[#This Row],[Schedule Delivery Date]])</f>
        <v>2025</v>
      </c>
      <c r="K73" s="9">
        <v>11</v>
      </c>
      <c r="L73" s="10">
        <v>46011</v>
      </c>
      <c r="M73" s="10">
        <v>45995</v>
      </c>
    </row>
    <row r="74" spans="1:13" x14ac:dyDescent="0.25">
      <c r="A74" t="s">
        <v>7</v>
      </c>
      <c r="B74">
        <v>73</v>
      </c>
      <c r="C74" t="s">
        <v>12</v>
      </c>
      <c r="D74" s="4" t="s">
        <v>36</v>
      </c>
      <c r="E74" s="1">
        <v>48.15</v>
      </c>
      <c r="F74">
        <v>321</v>
      </c>
      <c r="G74" s="1">
        <v>260</v>
      </c>
      <c r="H74" s="1">
        <v>15</v>
      </c>
      <c r="I74" s="4" t="str">
        <f>TEXT(financials[[#This Row],[Schedule Delivery Date]],"mmmm")</f>
        <v>December</v>
      </c>
      <c r="J74">
        <f>YEAR(financials[[#This Row],[Schedule Delivery Date]])</f>
        <v>2025</v>
      </c>
      <c r="K74" s="9">
        <v>11</v>
      </c>
      <c r="L74" s="10">
        <v>46011</v>
      </c>
      <c r="M74" s="10">
        <v>46007</v>
      </c>
    </row>
    <row r="75" spans="1:13" x14ac:dyDescent="0.25">
      <c r="A75" t="s">
        <v>9</v>
      </c>
      <c r="B75">
        <v>74</v>
      </c>
      <c r="C75" t="s">
        <v>52</v>
      </c>
      <c r="D75" s="4" t="s">
        <v>31</v>
      </c>
      <c r="E75" s="1">
        <v>110.46</v>
      </c>
      <c r="F75">
        <v>263</v>
      </c>
      <c r="G75" s="1">
        <v>3</v>
      </c>
      <c r="H75" s="1">
        <v>7</v>
      </c>
      <c r="I75" s="4" t="str">
        <f>TEXT(financials[[#This Row],[Schedule Delivery Date]],"mmmm")</f>
        <v>December</v>
      </c>
      <c r="J75">
        <f>YEAR(financials[[#This Row],[Schedule Delivery Date]])</f>
        <v>2025</v>
      </c>
      <c r="K75" s="9">
        <v>11</v>
      </c>
      <c r="L75" s="10">
        <v>46011</v>
      </c>
      <c r="M75" s="10">
        <v>45994</v>
      </c>
    </row>
    <row r="76" spans="1:13" x14ac:dyDescent="0.25">
      <c r="A76" t="s">
        <v>9</v>
      </c>
      <c r="B76">
        <v>75</v>
      </c>
      <c r="C76" t="s">
        <v>11</v>
      </c>
      <c r="D76" s="4" t="s">
        <v>34</v>
      </c>
      <c r="E76" s="1">
        <v>146.44</v>
      </c>
      <c r="F76">
        <v>2092</v>
      </c>
      <c r="G76" s="1">
        <v>120</v>
      </c>
      <c r="H76" s="1">
        <v>7</v>
      </c>
      <c r="I76" s="4" t="str">
        <f>TEXT(financials[[#This Row],[Schedule Delivery Date]],"mmmm")</f>
        <v>December</v>
      </c>
      <c r="J76">
        <f>YEAR(financials[[#This Row],[Schedule Delivery Date]])</f>
        <v>2025</v>
      </c>
      <c r="K76" s="9">
        <v>11</v>
      </c>
      <c r="L76" s="10">
        <v>46014</v>
      </c>
      <c r="M76" s="10">
        <v>46022</v>
      </c>
    </row>
    <row r="77" spans="1:13" x14ac:dyDescent="0.25">
      <c r="A77" t="s">
        <v>9</v>
      </c>
      <c r="B77">
        <v>76</v>
      </c>
      <c r="C77" t="s">
        <v>12</v>
      </c>
      <c r="D77" s="4" t="s">
        <v>31</v>
      </c>
      <c r="E77" s="1">
        <v>300.3</v>
      </c>
      <c r="F77">
        <v>2145</v>
      </c>
      <c r="G77" s="1">
        <v>3</v>
      </c>
      <c r="H77" s="1">
        <v>7</v>
      </c>
      <c r="I77" s="4" t="str">
        <f>TEXT(financials[[#This Row],[Schedule Delivery Date]],"mmmm")</f>
        <v>December</v>
      </c>
      <c r="J77">
        <f>YEAR(financials[[#This Row],[Schedule Delivery Date]])</f>
        <v>2025</v>
      </c>
      <c r="K77" s="9">
        <v>11</v>
      </c>
      <c r="L77" s="10">
        <v>46016</v>
      </c>
      <c r="M77" s="10">
        <v>46013</v>
      </c>
    </row>
    <row r="78" spans="1:13" x14ac:dyDescent="0.25">
      <c r="A78" t="s">
        <v>9</v>
      </c>
      <c r="B78">
        <v>77</v>
      </c>
      <c r="C78" t="s">
        <v>13</v>
      </c>
      <c r="D78" s="4" t="s">
        <v>31</v>
      </c>
      <c r="E78" s="1">
        <v>355.6</v>
      </c>
      <c r="F78">
        <v>1016</v>
      </c>
      <c r="G78" s="1">
        <v>3</v>
      </c>
      <c r="H78" s="1">
        <v>7</v>
      </c>
      <c r="I78" s="4" t="str">
        <f>TEXT(financials[[#This Row],[Schedule Delivery Date]],"mmmm")</f>
        <v>December</v>
      </c>
      <c r="J78">
        <f>YEAR(financials[[#This Row],[Schedule Delivery Date]])</f>
        <v>2025</v>
      </c>
      <c r="K78" s="9">
        <v>11</v>
      </c>
      <c r="L78" s="10">
        <v>46018</v>
      </c>
      <c r="M78" s="10">
        <v>46015</v>
      </c>
    </row>
    <row r="79" spans="1:13" x14ac:dyDescent="0.25">
      <c r="A79" t="s">
        <v>10</v>
      </c>
      <c r="B79">
        <v>78</v>
      </c>
      <c r="C79" t="s">
        <v>12</v>
      </c>
      <c r="D79" s="4" t="s">
        <v>33</v>
      </c>
      <c r="E79" s="1">
        <v>428.4</v>
      </c>
      <c r="F79">
        <v>1785</v>
      </c>
      <c r="G79" s="1">
        <v>10</v>
      </c>
      <c r="H79" s="1">
        <v>12</v>
      </c>
      <c r="I79" s="4" t="str">
        <f>TEXT(financials[[#This Row],[Schedule Delivery Date]],"mmmm")</f>
        <v>December</v>
      </c>
      <c r="J79">
        <f>YEAR(financials[[#This Row],[Schedule Delivery Date]])</f>
        <v>2025</v>
      </c>
      <c r="K79" s="9">
        <v>11</v>
      </c>
      <c r="L79" s="10">
        <v>46018</v>
      </c>
      <c r="M79" s="10">
        <v>46014</v>
      </c>
    </row>
    <row r="80" spans="1:13" x14ac:dyDescent="0.25">
      <c r="A80" t="s">
        <v>9</v>
      </c>
      <c r="B80">
        <v>79</v>
      </c>
      <c r="C80" t="s">
        <v>52</v>
      </c>
      <c r="D80" s="4" t="s">
        <v>35</v>
      </c>
      <c r="E80" s="1">
        <v>1265</v>
      </c>
      <c r="F80">
        <v>1265</v>
      </c>
      <c r="G80" s="1">
        <v>250</v>
      </c>
      <c r="H80" s="1">
        <v>20</v>
      </c>
      <c r="I80" s="4" t="str">
        <f>TEXT(financials[[#This Row],[Schedule Delivery Date]],"mmmm")</f>
        <v>December</v>
      </c>
      <c r="J80">
        <f>YEAR(financials[[#This Row],[Schedule Delivery Date]])</f>
        <v>2025</v>
      </c>
      <c r="K80" s="9">
        <v>11</v>
      </c>
      <c r="L80" s="10">
        <v>46018</v>
      </c>
      <c r="M80" s="10">
        <v>46018</v>
      </c>
    </row>
    <row r="81" spans="1:13" x14ac:dyDescent="0.25">
      <c r="A81" t="s">
        <v>7</v>
      </c>
      <c r="B81">
        <v>80</v>
      </c>
      <c r="C81" t="s">
        <v>13</v>
      </c>
      <c r="D81" s="4" t="s">
        <v>36</v>
      </c>
      <c r="E81" s="1">
        <v>1309.5</v>
      </c>
      <c r="F81">
        <v>970</v>
      </c>
      <c r="G81" s="1">
        <v>260</v>
      </c>
      <c r="H81" s="1">
        <v>15</v>
      </c>
      <c r="I81" s="4" t="str">
        <f>TEXT(financials[[#This Row],[Schedule Delivery Date]],"mmmm")</f>
        <v>December</v>
      </c>
      <c r="J81">
        <f>YEAR(financials[[#This Row],[Schedule Delivery Date]])</f>
        <v>2025</v>
      </c>
      <c r="K81" s="9">
        <v>11</v>
      </c>
      <c r="L81" s="10">
        <v>46022</v>
      </c>
      <c r="M81" s="10">
        <v>46031</v>
      </c>
    </row>
    <row r="82" spans="1:13" x14ac:dyDescent="0.25">
      <c r="A82" t="s">
        <v>9</v>
      </c>
      <c r="B82">
        <v>81</v>
      </c>
      <c r="C82" t="s">
        <v>14</v>
      </c>
      <c r="D82" s="4" t="s">
        <v>35</v>
      </c>
      <c r="E82" s="1">
        <v>1347.6</v>
      </c>
      <c r="F82">
        <v>1123</v>
      </c>
      <c r="G82" s="1">
        <v>250</v>
      </c>
      <c r="H82" s="1">
        <v>20</v>
      </c>
      <c r="I82" s="4" t="str">
        <f>TEXT(financials[[#This Row],[Schedule Delivery Date]],"mmmm")</f>
        <v>December</v>
      </c>
      <c r="J82">
        <f>YEAR(financials[[#This Row],[Schedule Delivery Date]])</f>
        <v>2025</v>
      </c>
      <c r="K82" s="9">
        <v>11</v>
      </c>
      <c r="L82" s="10">
        <v>46022</v>
      </c>
      <c r="M82" s="10">
        <v>46025</v>
      </c>
    </row>
    <row r="83" spans="1:13" x14ac:dyDescent="0.25">
      <c r="A83" t="s">
        <v>10</v>
      </c>
      <c r="B83">
        <v>82</v>
      </c>
      <c r="C83" t="s">
        <v>13</v>
      </c>
      <c r="D83" s="4" t="s">
        <v>33</v>
      </c>
      <c r="E83" s="1">
        <v>1917</v>
      </c>
      <c r="F83">
        <v>1775</v>
      </c>
      <c r="G83" s="1">
        <v>10</v>
      </c>
      <c r="H83" s="1">
        <v>12</v>
      </c>
      <c r="I83" s="4" t="str">
        <f>TEXT(financials[[#This Row],[Schedule Delivery Date]],"mmmm")</f>
        <v>February</v>
      </c>
      <c r="J83">
        <f>YEAR(financials[[#This Row],[Schedule Delivery Date]])</f>
        <v>2026</v>
      </c>
      <c r="K83" s="9">
        <v>11</v>
      </c>
      <c r="L83" s="10">
        <v>46066</v>
      </c>
      <c r="M83" s="10">
        <v>46029</v>
      </c>
    </row>
    <row r="84" spans="1:13" x14ac:dyDescent="0.25">
      <c r="A84" t="s">
        <v>9</v>
      </c>
      <c r="B84">
        <v>83</v>
      </c>
      <c r="C84" t="s">
        <v>14</v>
      </c>
      <c r="D84" s="4" t="s">
        <v>31</v>
      </c>
      <c r="E84" s="1">
        <v>2083.62</v>
      </c>
      <c r="F84">
        <v>2706</v>
      </c>
      <c r="G84" s="1">
        <v>3</v>
      </c>
      <c r="H84" s="1">
        <v>7</v>
      </c>
      <c r="I84" s="4" t="str">
        <f>TEXT(financials[[#This Row],[Schedule Delivery Date]],"mmmm")</f>
        <v>March</v>
      </c>
      <c r="J84">
        <f>YEAR(financials[[#This Row],[Schedule Delivery Date]])</f>
        <v>2026</v>
      </c>
      <c r="K84" s="9">
        <v>11</v>
      </c>
      <c r="L84" s="10">
        <v>46086</v>
      </c>
      <c r="M84" s="10">
        <v>46031</v>
      </c>
    </row>
    <row r="85" spans="1:13" x14ac:dyDescent="0.25">
      <c r="A85" t="s">
        <v>9</v>
      </c>
      <c r="B85">
        <v>84</v>
      </c>
      <c r="C85" t="s">
        <v>13</v>
      </c>
      <c r="D85" s="4" t="s">
        <v>35</v>
      </c>
      <c r="E85" s="1">
        <v>2297</v>
      </c>
      <c r="F85">
        <v>2297</v>
      </c>
      <c r="G85" s="1">
        <v>250</v>
      </c>
      <c r="H85" s="1">
        <v>20</v>
      </c>
      <c r="I85" s="4" t="str">
        <f>TEXT(financials[[#This Row],[Schedule Delivery Date]],"mmmm")</f>
        <v>March</v>
      </c>
      <c r="J85">
        <f>YEAR(financials[[#This Row],[Schedule Delivery Date]])</f>
        <v>2026</v>
      </c>
      <c r="K85" s="9">
        <v>11</v>
      </c>
      <c r="L85" s="10">
        <v>46097</v>
      </c>
      <c r="M85" s="10">
        <v>46029</v>
      </c>
    </row>
    <row r="86" spans="1:13" x14ac:dyDescent="0.25">
      <c r="A86" t="s">
        <v>10</v>
      </c>
      <c r="B86">
        <v>85</v>
      </c>
      <c r="C86" t="s">
        <v>14</v>
      </c>
      <c r="D86" s="4" t="s">
        <v>33</v>
      </c>
      <c r="E86" s="1">
        <v>2320.92</v>
      </c>
      <c r="F86">
        <v>2763</v>
      </c>
      <c r="G86" s="1">
        <v>10</v>
      </c>
      <c r="H86" s="1">
        <v>12</v>
      </c>
      <c r="I86" s="4" t="str">
        <f>TEXT(financials[[#This Row],[Schedule Delivery Date]],"mmmm")</f>
        <v>February</v>
      </c>
      <c r="J86">
        <f>YEAR(financials[[#This Row],[Schedule Delivery Date]])</f>
        <v>2026</v>
      </c>
      <c r="K86" s="9">
        <v>11</v>
      </c>
      <c r="L86" s="10">
        <v>46059</v>
      </c>
      <c r="M86" s="10">
        <v>46006</v>
      </c>
    </row>
    <row r="87" spans="1:13" x14ac:dyDescent="0.25">
      <c r="A87" t="s">
        <v>7</v>
      </c>
      <c r="B87">
        <v>86</v>
      </c>
      <c r="C87" t="s">
        <v>11</v>
      </c>
      <c r="D87" s="4" t="s">
        <v>31</v>
      </c>
      <c r="E87" s="1">
        <v>2574</v>
      </c>
      <c r="F87">
        <v>1560</v>
      </c>
      <c r="G87" s="1">
        <v>3</v>
      </c>
      <c r="H87" s="1">
        <v>15</v>
      </c>
      <c r="I87" s="4" t="str">
        <f>TEXT(financials[[#This Row],[Schedule Delivery Date]],"mmmm")</f>
        <v>January</v>
      </c>
      <c r="J87">
        <f>YEAR(financials[[#This Row],[Schedule Delivery Date]])</f>
        <v>2026</v>
      </c>
      <c r="K87" s="9">
        <v>11</v>
      </c>
      <c r="L87" s="10">
        <v>46024</v>
      </c>
      <c r="M87" s="10">
        <v>46025</v>
      </c>
    </row>
    <row r="88" spans="1:13" x14ac:dyDescent="0.25">
      <c r="A88" t="s">
        <v>10</v>
      </c>
      <c r="B88">
        <v>87</v>
      </c>
      <c r="C88" t="s">
        <v>11</v>
      </c>
      <c r="D88" s="4" t="s">
        <v>33</v>
      </c>
      <c r="E88" s="1">
        <v>3732.96</v>
      </c>
      <c r="F88">
        <v>2222</v>
      </c>
      <c r="G88" s="1">
        <v>10</v>
      </c>
      <c r="H88" s="1">
        <v>12</v>
      </c>
      <c r="I88" s="4" t="str">
        <f>TEXT(financials[[#This Row],[Schedule Delivery Date]],"mmmm")</f>
        <v>January</v>
      </c>
      <c r="J88">
        <f>YEAR(financials[[#This Row],[Schedule Delivery Date]])</f>
        <v>2026</v>
      </c>
      <c r="K88" s="9">
        <v>11</v>
      </c>
      <c r="L88" s="10">
        <v>46024</v>
      </c>
      <c r="M88" s="10">
        <v>46024</v>
      </c>
    </row>
    <row r="89" spans="1:13" x14ac:dyDescent="0.25">
      <c r="A89" t="s">
        <v>7</v>
      </c>
      <c r="B89">
        <v>88</v>
      </c>
      <c r="C89" t="s">
        <v>14</v>
      </c>
      <c r="D89" s="4" t="s">
        <v>36</v>
      </c>
      <c r="E89" s="1">
        <v>3927</v>
      </c>
      <c r="F89">
        <v>1870</v>
      </c>
      <c r="G89" s="1">
        <v>260</v>
      </c>
      <c r="H89" s="1">
        <v>15</v>
      </c>
      <c r="I89" s="4" t="str">
        <f>TEXT(financials[[#This Row],[Schedule Delivery Date]],"mmmm")</f>
        <v>January</v>
      </c>
      <c r="J89">
        <f>YEAR(financials[[#This Row],[Schedule Delivery Date]])</f>
        <v>2026</v>
      </c>
      <c r="K89" s="9">
        <v>11</v>
      </c>
      <c r="L89" s="10">
        <v>46024</v>
      </c>
      <c r="M89" s="10"/>
    </row>
    <row r="90" spans="1:13" x14ac:dyDescent="0.25">
      <c r="A90" t="s">
        <v>8</v>
      </c>
      <c r="B90">
        <v>89</v>
      </c>
      <c r="C90" t="s">
        <v>14</v>
      </c>
      <c r="D90" s="4" t="s">
        <v>32</v>
      </c>
      <c r="E90" s="1">
        <v>4150</v>
      </c>
      <c r="F90">
        <v>1660</v>
      </c>
      <c r="G90" s="1">
        <v>5</v>
      </c>
      <c r="H90" s="1">
        <v>125</v>
      </c>
      <c r="I90" s="4" t="str">
        <f>TEXT(financials[[#This Row],[Schedule Delivery Date]],"mmmm")</f>
        <v>January</v>
      </c>
      <c r="J90">
        <f>YEAR(financials[[#This Row],[Schedule Delivery Date]])</f>
        <v>2026</v>
      </c>
      <c r="K90" s="9">
        <v>11</v>
      </c>
      <c r="L90" s="10">
        <v>46024</v>
      </c>
      <c r="M90" s="10">
        <v>46024</v>
      </c>
    </row>
    <row r="91" spans="1:13" x14ac:dyDescent="0.25">
      <c r="A91" t="s">
        <v>7</v>
      </c>
      <c r="B91">
        <v>90</v>
      </c>
      <c r="C91" t="s">
        <v>52</v>
      </c>
      <c r="D91" s="4" t="s">
        <v>36</v>
      </c>
      <c r="E91" s="1">
        <v>4586.3999999999996</v>
      </c>
      <c r="F91">
        <v>2548</v>
      </c>
      <c r="G91" s="1">
        <v>260</v>
      </c>
      <c r="H91" s="1">
        <v>15</v>
      </c>
      <c r="I91" s="4" t="str">
        <f>TEXT(financials[[#This Row],[Schedule Delivery Date]],"mmmm")</f>
        <v>January</v>
      </c>
      <c r="J91">
        <f>YEAR(financials[[#This Row],[Schedule Delivery Date]])</f>
        <v>2026</v>
      </c>
      <c r="K91" s="9">
        <v>11</v>
      </c>
      <c r="L91" s="10">
        <v>46024</v>
      </c>
      <c r="M91" s="10">
        <v>46024</v>
      </c>
    </row>
    <row r="92" spans="1:13" x14ac:dyDescent="0.25">
      <c r="A92" t="s">
        <v>9</v>
      </c>
      <c r="B92">
        <v>91</v>
      </c>
      <c r="C92" t="s">
        <v>12</v>
      </c>
      <c r="D92" s="4" t="s">
        <v>35</v>
      </c>
      <c r="E92" s="1">
        <v>4827.6000000000004</v>
      </c>
      <c r="F92">
        <v>2682</v>
      </c>
      <c r="G92" s="1">
        <v>250</v>
      </c>
      <c r="H92" s="1">
        <v>20</v>
      </c>
      <c r="I92" s="4" t="str">
        <f>TEXT(financials[[#This Row],[Schedule Delivery Date]],"mmmm")</f>
        <v>January</v>
      </c>
      <c r="J92">
        <f>YEAR(financials[[#This Row],[Schedule Delivery Date]])</f>
        <v>2026</v>
      </c>
      <c r="K92" s="9">
        <v>11</v>
      </c>
      <c r="L92" s="10">
        <v>46024</v>
      </c>
      <c r="M92" s="10">
        <v>46024</v>
      </c>
    </row>
    <row r="93" spans="1:13" x14ac:dyDescent="0.25">
      <c r="A93" t="s">
        <v>9</v>
      </c>
      <c r="B93">
        <v>92</v>
      </c>
      <c r="C93" t="s">
        <v>11</v>
      </c>
      <c r="D93" s="4" t="s">
        <v>35</v>
      </c>
      <c r="E93" s="1">
        <v>6457</v>
      </c>
      <c r="F93">
        <v>2935</v>
      </c>
      <c r="G93" s="1">
        <v>250</v>
      </c>
      <c r="H93" s="1">
        <v>20</v>
      </c>
      <c r="I93" s="4" t="str">
        <f>TEXT(financials[[#This Row],[Schedule Delivery Date]],"mmmm")</f>
        <v>March</v>
      </c>
      <c r="J93">
        <f>YEAR(financials[[#This Row],[Schedule Delivery Date]])</f>
        <v>2026</v>
      </c>
      <c r="K93" s="9">
        <v>11</v>
      </c>
      <c r="L93" s="10">
        <v>46095</v>
      </c>
      <c r="M93" s="10"/>
    </row>
    <row r="94" spans="1:13" x14ac:dyDescent="0.25">
      <c r="A94" t="s">
        <v>6</v>
      </c>
      <c r="B94">
        <v>93</v>
      </c>
      <c r="C94" t="s">
        <v>12</v>
      </c>
      <c r="D94" s="4" t="s">
        <v>34</v>
      </c>
      <c r="E94" s="1">
        <v>9264</v>
      </c>
      <c r="F94">
        <v>386</v>
      </c>
      <c r="G94" s="1">
        <v>120</v>
      </c>
      <c r="H94" s="1">
        <v>300</v>
      </c>
      <c r="I94" s="4" t="str">
        <f>TEXT(financials[[#This Row],[Schedule Delivery Date]],"mmmm")</f>
        <v>January</v>
      </c>
      <c r="J94">
        <f>YEAR(financials[[#This Row],[Schedule Delivery Date]])</f>
        <v>2026</v>
      </c>
      <c r="K94" s="9">
        <v>11</v>
      </c>
      <c r="L94" s="10">
        <v>46024</v>
      </c>
      <c r="M94" s="10">
        <v>46024</v>
      </c>
    </row>
    <row r="95" spans="1:13" x14ac:dyDescent="0.25">
      <c r="A95" t="s">
        <v>8</v>
      </c>
      <c r="B95">
        <v>94</v>
      </c>
      <c r="C95" t="s">
        <v>12</v>
      </c>
      <c r="D95" s="4" t="s">
        <v>32</v>
      </c>
      <c r="E95" s="1">
        <v>20891.25</v>
      </c>
      <c r="F95">
        <v>1857</v>
      </c>
      <c r="G95" s="1">
        <v>5</v>
      </c>
      <c r="H95" s="1">
        <v>125</v>
      </c>
      <c r="I95" s="4" t="str">
        <f>TEXT(financials[[#This Row],[Schedule Delivery Date]],"mmmm")</f>
        <v>January</v>
      </c>
      <c r="J95">
        <f>YEAR(financials[[#This Row],[Schedule Delivery Date]])</f>
        <v>2026</v>
      </c>
      <c r="K95" s="9">
        <v>11</v>
      </c>
      <c r="L95" s="10">
        <v>46024</v>
      </c>
      <c r="M95" s="10">
        <v>46024</v>
      </c>
    </row>
    <row r="96" spans="1:13" x14ac:dyDescent="0.25">
      <c r="A96" t="s">
        <v>8</v>
      </c>
      <c r="B96">
        <v>95</v>
      </c>
      <c r="C96" t="s">
        <v>13</v>
      </c>
      <c r="D96" s="4" t="s">
        <v>32</v>
      </c>
      <c r="E96" s="1">
        <v>21875</v>
      </c>
      <c r="F96">
        <v>2500</v>
      </c>
      <c r="G96" s="1">
        <v>5</v>
      </c>
      <c r="H96" s="1">
        <v>125</v>
      </c>
      <c r="I96" s="4" t="str">
        <f>TEXT(financials[[#This Row],[Schedule Delivery Date]],"mmmm")</f>
        <v>January</v>
      </c>
      <c r="J96">
        <f>YEAR(financials[[#This Row],[Schedule Delivery Date]])</f>
        <v>2026</v>
      </c>
      <c r="K96" s="9">
        <v>11</v>
      </c>
      <c r="L96" s="10">
        <v>46024</v>
      </c>
      <c r="M96" s="10">
        <v>46024</v>
      </c>
    </row>
    <row r="97" spans="1:13" x14ac:dyDescent="0.25">
      <c r="A97" t="s">
        <v>8</v>
      </c>
      <c r="B97">
        <v>96</v>
      </c>
      <c r="C97" t="s">
        <v>52</v>
      </c>
      <c r="D97" s="4" t="s">
        <v>32</v>
      </c>
      <c r="E97" s="1">
        <v>22550</v>
      </c>
      <c r="F97">
        <v>1804</v>
      </c>
      <c r="G97" s="1">
        <v>5</v>
      </c>
      <c r="H97" s="1">
        <v>125</v>
      </c>
      <c r="I97" s="4" t="str">
        <f>TEXT(financials[[#This Row],[Schedule Delivery Date]],"mmmm")</f>
        <v>January</v>
      </c>
      <c r="J97">
        <f>YEAR(financials[[#This Row],[Schedule Delivery Date]])</f>
        <v>2026</v>
      </c>
      <c r="K97" s="9">
        <v>11</v>
      </c>
      <c r="L97" s="10">
        <v>46024</v>
      </c>
      <c r="M97" s="10">
        <v>46024</v>
      </c>
    </row>
    <row r="98" spans="1:13" x14ac:dyDescent="0.25">
      <c r="A98" t="s">
        <v>6</v>
      </c>
      <c r="B98">
        <v>97</v>
      </c>
      <c r="C98" t="s">
        <v>11</v>
      </c>
      <c r="D98" s="4" t="s">
        <v>33</v>
      </c>
      <c r="E98" s="1">
        <v>29484</v>
      </c>
      <c r="F98">
        <v>1404</v>
      </c>
      <c r="G98" s="1">
        <v>10</v>
      </c>
      <c r="H98" s="1">
        <v>300</v>
      </c>
      <c r="I98" s="4" t="str">
        <f>TEXT(financials[[#This Row],[Schedule Delivery Date]],"mmmm")</f>
        <v>January</v>
      </c>
      <c r="J98">
        <f>YEAR(financials[[#This Row],[Schedule Delivery Date]])</f>
        <v>2026</v>
      </c>
      <c r="K98" s="9">
        <v>11</v>
      </c>
      <c r="L98" s="10">
        <v>46024</v>
      </c>
      <c r="M98" s="10">
        <v>46024</v>
      </c>
    </row>
    <row r="99" spans="1:13" x14ac:dyDescent="0.25">
      <c r="A99" t="s">
        <v>8</v>
      </c>
      <c r="B99">
        <v>98</v>
      </c>
      <c r="C99" t="s">
        <v>11</v>
      </c>
      <c r="D99" s="4" t="s">
        <v>35</v>
      </c>
      <c r="E99" s="1">
        <v>55387.5</v>
      </c>
      <c r="F99">
        <v>2954</v>
      </c>
      <c r="G99" s="1">
        <v>250</v>
      </c>
      <c r="H99" s="1">
        <v>125</v>
      </c>
      <c r="I99" s="4" t="str">
        <f>TEXT(financials[[#This Row],[Schedule Delivery Date]],"mmmm")</f>
        <v>January</v>
      </c>
      <c r="J99">
        <f>YEAR(financials[[#This Row],[Schedule Delivery Date]])</f>
        <v>2026</v>
      </c>
      <c r="K99" s="9">
        <v>11</v>
      </c>
      <c r="L99" s="10">
        <v>46024</v>
      </c>
      <c r="M99" s="10">
        <v>46024</v>
      </c>
    </row>
    <row r="100" spans="1:13" x14ac:dyDescent="0.25">
      <c r="A100" t="s">
        <v>9</v>
      </c>
      <c r="B100">
        <v>99</v>
      </c>
      <c r="C100" t="s">
        <v>13</v>
      </c>
      <c r="D100" s="4" t="s">
        <v>33</v>
      </c>
      <c r="E100" s="1">
        <v>60088</v>
      </c>
      <c r="F100">
        <v>2146</v>
      </c>
      <c r="G100" s="1">
        <v>10</v>
      </c>
      <c r="H100" s="1">
        <v>350</v>
      </c>
      <c r="I100" s="4" t="str">
        <f>TEXT(financials[[#This Row],[Schedule Delivery Date]],"mmmm")</f>
        <v>January</v>
      </c>
      <c r="J100">
        <f>YEAR(financials[[#This Row],[Schedule Delivery Date]])</f>
        <v>2026</v>
      </c>
      <c r="K100" s="9">
        <v>11</v>
      </c>
      <c r="L100" s="10">
        <v>46024</v>
      </c>
      <c r="M100" s="10"/>
    </row>
    <row r="101" spans="1:13" x14ac:dyDescent="0.25">
      <c r="A101" t="s">
        <v>9</v>
      </c>
      <c r="B101">
        <v>100</v>
      </c>
      <c r="C101" t="s">
        <v>12</v>
      </c>
      <c r="D101" s="4" t="s">
        <v>33</v>
      </c>
      <c r="E101" s="1">
        <v>94178</v>
      </c>
      <c r="F101">
        <v>1922</v>
      </c>
      <c r="G101" s="1">
        <v>10</v>
      </c>
      <c r="H101" s="1">
        <v>350</v>
      </c>
      <c r="I101" s="4" t="str">
        <f>TEXT(financials[[#This Row],[Schedule Delivery Date]],"mmmm")</f>
        <v>January</v>
      </c>
      <c r="J101">
        <f>YEAR(financials[[#This Row],[Schedule Delivery Date]])</f>
        <v>2026</v>
      </c>
      <c r="K101" s="9">
        <v>11</v>
      </c>
      <c r="L101" s="10">
        <v>46025</v>
      </c>
      <c r="M101" s="10">
        <v>46025</v>
      </c>
    </row>
    <row r="102" spans="1:13" x14ac:dyDescent="0.25">
      <c r="A102" t="s">
        <v>6</v>
      </c>
      <c r="B102">
        <v>101</v>
      </c>
      <c r="C102" t="s">
        <v>14</v>
      </c>
      <c r="D102" s="4" t="s">
        <v>34</v>
      </c>
      <c r="E102" s="1">
        <v>101595</v>
      </c>
      <c r="F102">
        <v>2605</v>
      </c>
      <c r="G102" s="1">
        <v>120</v>
      </c>
      <c r="H102" s="1">
        <v>300</v>
      </c>
      <c r="I102" s="4" t="str">
        <f>TEXT(financials[[#This Row],[Schedule Delivery Date]],"mmmm")</f>
        <v>January</v>
      </c>
      <c r="J102">
        <f>YEAR(financials[[#This Row],[Schedule Delivery Date]])</f>
        <v>2026</v>
      </c>
      <c r="K102" s="9">
        <v>11</v>
      </c>
      <c r="L102" s="10">
        <v>46024</v>
      </c>
      <c r="M102" s="10">
        <v>46024</v>
      </c>
    </row>
    <row r="103" spans="1:13" x14ac:dyDescent="0.25">
      <c r="A103" t="s">
        <v>9</v>
      </c>
      <c r="B103">
        <v>102</v>
      </c>
      <c r="C103" t="s">
        <v>52</v>
      </c>
      <c r="D103" s="4" t="s">
        <v>33</v>
      </c>
      <c r="E103" s="1">
        <v>105367.5</v>
      </c>
      <c r="F103">
        <v>2007</v>
      </c>
      <c r="G103" s="1">
        <v>10</v>
      </c>
      <c r="H103" s="1">
        <v>350</v>
      </c>
      <c r="I103" s="4" t="str">
        <f>TEXT(financials[[#This Row],[Schedule Delivery Date]],"mmmm")</f>
        <v>January</v>
      </c>
      <c r="J103">
        <f>YEAR(financials[[#This Row],[Schedule Delivery Date]])</f>
        <v>2026</v>
      </c>
      <c r="K103" s="9">
        <v>11</v>
      </c>
      <c r="L103" s="10">
        <v>46024</v>
      </c>
      <c r="M103" s="10">
        <v>46025</v>
      </c>
    </row>
    <row r="104" spans="1:13" x14ac:dyDescent="0.25">
      <c r="A104" t="s">
        <v>6</v>
      </c>
      <c r="B104">
        <v>103</v>
      </c>
      <c r="C104" t="s">
        <v>13</v>
      </c>
      <c r="D104" s="4" t="s">
        <v>34</v>
      </c>
      <c r="E104" s="1">
        <v>106512</v>
      </c>
      <c r="F104">
        <v>2536</v>
      </c>
      <c r="G104" s="1">
        <v>120</v>
      </c>
      <c r="H104" s="1">
        <v>300</v>
      </c>
      <c r="I104" s="4" t="str">
        <f>TEXT(financials[[#This Row],[Schedule Delivery Date]],"mmmm")</f>
        <v>January</v>
      </c>
      <c r="J104">
        <f>YEAR(financials[[#This Row],[Schedule Delivery Date]])</f>
        <v>2026</v>
      </c>
      <c r="K104" s="9">
        <v>11</v>
      </c>
      <c r="L104" s="10">
        <v>46025</v>
      </c>
      <c r="M104" s="10">
        <v>46026</v>
      </c>
    </row>
    <row r="105" spans="1:13" x14ac:dyDescent="0.25">
      <c r="A105" t="s">
        <v>9</v>
      </c>
      <c r="B105">
        <v>104</v>
      </c>
      <c r="C105" t="s">
        <v>14</v>
      </c>
      <c r="D105" s="4" t="s">
        <v>33</v>
      </c>
      <c r="E105" s="1">
        <v>112927.5</v>
      </c>
      <c r="F105">
        <v>2151</v>
      </c>
      <c r="G105" s="1">
        <v>10</v>
      </c>
      <c r="H105" s="1">
        <v>350</v>
      </c>
      <c r="I105" s="4" t="str">
        <f>TEXT(financials[[#This Row],[Schedule Delivery Date]],"mmmm")</f>
        <v>November</v>
      </c>
      <c r="J105">
        <f>YEAR(financials[[#This Row],[Schedule Delivery Date]])</f>
        <v>2025</v>
      </c>
      <c r="K105" s="9">
        <v>11</v>
      </c>
      <c r="L105" s="10">
        <v>45980</v>
      </c>
      <c r="M105" s="10">
        <v>45972</v>
      </c>
    </row>
    <row r="106" spans="1:13" x14ac:dyDescent="0.25">
      <c r="A106" t="s">
        <v>6</v>
      </c>
      <c r="B106">
        <v>105</v>
      </c>
      <c r="C106" t="s">
        <v>52</v>
      </c>
      <c r="D106" s="4" t="s">
        <v>34</v>
      </c>
      <c r="E106" s="1">
        <v>115830</v>
      </c>
      <c r="F106">
        <v>2574</v>
      </c>
      <c r="G106" s="1">
        <v>120</v>
      </c>
      <c r="H106" s="1">
        <v>300</v>
      </c>
      <c r="I106" s="4" t="str">
        <f>TEXT(financials[[#This Row],[Schedule Delivery Date]],"mmmm")</f>
        <v>January</v>
      </c>
      <c r="J106">
        <f>YEAR(financials[[#This Row],[Schedule Delivery Date]])</f>
        <v>2026</v>
      </c>
      <c r="K106" s="9">
        <v>11</v>
      </c>
      <c r="L106" s="10">
        <v>46024</v>
      </c>
      <c r="M106" s="10">
        <v>46024</v>
      </c>
    </row>
    <row r="107" spans="1:13" x14ac:dyDescent="0.25">
      <c r="A107" t="s">
        <v>7</v>
      </c>
      <c r="B107">
        <v>106</v>
      </c>
      <c r="C107" t="s">
        <v>11</v>
      </c>
      <c r="D107" s="4" t="s">
        <v>33</v>
      </c>
      <c r="E107" s="1">
        <v>0</v>
      </c>
      <c r="F107">
        <v>2152</v>
      </c>
      <c r="G107" s="1">
        <v>10</v>
      </c>
      <c r="H107" s="1">
        <v>15</v>
      </c>
      <c r="I107" s="4" t="str">
        <f>TEXT(financials[[#This Row],[Schedule Delivery Date]],"mmmm")</f>
        <v>November</v>
      </c>
      <c r="J107">
        <f>YEAR(financials[[#This Row],[Schedule Delivery Date]])</f>
        <v>2025</v>
      </c>
      <c r="K107" s="9">
        <v>12</v>
      </c>
      <c r="L107" s="10">
        <v>45989</v>
      </c>
      <c r="M107" s="10">
        <v>46027</v>
      </c>
    </row>
    <row r="108" spans="1:13" x14ac:dyDescent="0.25">
      <c r="A108" t="s">
        <v>9</v>
      </c>
      <c r="B108">
        <v>107</v>
      </c>
      <c r="C108" t="s">
        <v>14</v>
      </c>
      <c r="D108" s="4" t="s">
        <v>34</v>
      </c>
      <c r="E108" s="1">
        <v>217.6</v>
      </c>
      <c r="F108">
        <v>544</v>
      </c>
      <c r="G108" s="1">
        <v>120</v>
      </c>
      <c r="H108" s="1">
        <v>20</v>
      </c>
      <c r="I108" s="4" t="str">
        <f>TEXT(financials[[#This Row],[Schedule Delivery Date]],"mmmm")</f>
        <v>November</v>
      </c>
      <c r="J108">
        <f>YEAR(financials[[#This Row],[Schedule Delivery Date]])</f>
        <v>2025</v>
      </c>
      <c r="K108" s="9">
        <v>12</v>
      </c>
      <c r="L108" s="10">
        <v>45990</v>
      </c>
      <c r="M108" s="10">
        <v>46026</v>
      </c>
    </row>
    <row r="109" spans="1:13" x14ac:dyDescent="0.25">
      <c r="A109" t="s">
        <v>9</v>
      </c>
      <c r="B109">
        <v>108</v>
      </c>
      <c r="C109" t="s">
        <v>52</v>
      </c>
      <c r="D109" s="4" t="s">
        <v>33</v>
      </c>
      <c r="E109" s="1">
        <v>281.82</v>
      </c>
      <c r="F109">
        <v>2013</v>
      </c>
      <c r="G109" s="1">
        <v>10</v>
      </c>
      <c r="H109" s="1">
        <v>7</v>
      </c>
      <c r="I109" s="4" t="str">
        <f>TEXT(financials[[#This Row],[Schedule Delivery Date]],"mmmm")</f>
        <v>December</v>
      </c>
      <c r="J109">
        <f>YEAR(financials[[#This Row],[Schedule Delivery Date]])</f>
        <v>2025</v>
      </c>
      <c r="K109" s="9">
        <v>12</v>
      </c>
      <c r="L109" s="10">
        <v>45994</v>
      </c>
      <c r="M109" s="10">
        <v>46027</v>
      </c>
    </row>
    <row r="110" spans="1:13" x14ac:dyDescent="0.25">
      <c r="A110" t="s">
        <v>10</v>
      </c>
      <c r="B110">
        <v>109</v>
      </c>
      <c r="C110" t="s">
        <v>11</v>
      </c>
      <c r="D110" s="4" t="s">
        <v>31</v>
      </c>
      <c r="E110" s="1">
        <v>326.88</v>
      </c>
      <c r="F110">
        <v>908</v>
      </c>
      <c r="G110" s="1">
        <v>3</v>
      </c>
      <c r="H110" s="1">
        <v>12</v>
      </c>
      <c r="I110" s="4" t="str">
        <f>TEXT(financials[[#This Row],[Schedule Delivery Date]],"mmmm")</f>
        <v>December</v>
      </c>
      <c r="J110">
        <f>YEAR(financials[[#This Row],[Schedule Delivery Date]])</f>
        <v>2025</v>
      </c>
      <c r="K110" s="9">
        <v>12</v>
      </c>
      <c r="L110" s="10">
        <v>45997</v>
      </c>
      <c r="M110" s="10">
        <v>46027</v>
      </c>
    </row>
    <row r="111" spans="1:13" x14ac:dyDescent="0.25">
      <c r="A111" t="s">
        <v>10</v>
      </c>
      <c r="B111">
        <v>110</v>
      </c>
      <c r="C111" t="s">
        <v>12</v>
      </c>
      <c r="D111" s="4" t="s">
        <v>36</v>
      </c>
      <c r="E111" s="1">
        <v>330.48</v>
      </c>
      <c r="F111">
        <v>306</v>
      </c>
      <c r="G111" s="1">
        <v>260</v>
      </c>
      <c r="H111" s="1">
        <v>12</v>
      </c>
      <c r="I111" s="4" t="str">
        <f>TEXT(financials[[#This Row],[Schedule Delivery Date]],"mmmm")</f>
        <v>January</v>
      </c>
      <c r="J111">
        <f>YEAR(financials[[#This Row],[Schedule Delivery Date]])</f>
        <v>2026</v>
      </c>
      <c r="K111" s="9">
        <v>12</v>
      </c>
      <c r="L111" s="10">
        <v>46028</v>
      </c>
      <c r="M111" s="10">
        <v>46028</v>
      </c>
    </row>
    <row r="112" spans="1:13" x14ac:dyDescent="0.25">
      <c r="A112" t="s">
        <v>7</v>
      </c>
      <c r="B112">
        <v>111</v>
      </c>
      <c r="C112" t="s">
        <v>52</v>
      </c>
      <c r="D112" s="4" t="s">
        <v>33</v>
      </c>
      <c r="E112" s="1">
        <v>577.5</v>
      </c>
      <c r="F112">
        <v>1925</v>
      </c>
      <c r="G112" s="1">
        <v>10</v>
      </c>
      <c r="H112" s="1">
        <v>15</v>
      </c>
      <c r="I112" s="4" t="str">
        <f>TEXT(financials[[#This Row],[Schedule Delivery Date]],"mmmm")</f>
        <v>December</v>
      </c>
      <c r="J112">
        <f>YEAR(financials[[#This Row],[Schedule Delivery Date]])</f>
        <v>2025</v>
      </c>
      <c r="K112" s="9">
        <v>12</v>
      </c>
      <c r="L112" s="10">
        <v>45996</v>
      </c>
      <c r="M112" s="10">
        <v>45997</v>
      </c>
    </row>
    <row r="113" spans="1:13" x14ac:dyDescent="0.25">
      <c r="A113" t="s">
        <v>7</v>
      </c>
      <c r="B113">
        <v>112</v>
      </c>
      <c r="C113" t="s">
        <v>14</v>
      </c>
      <c r="D113" s="4" t="s">
        <v>33</v>
      </c>
      <c r="E113" s="1">
        <v>684</v>
      </c>
      <c r="F113">
        <v>380</v>
      </c>
      <c r="G113" s="1">
        <v>10</v>
      </c>
      <c r="H113" s="1">
        <v>15</v>
      </c>
      <c r="I113" s="4" t="str">
        <f>TEXT(financials[[#This Row],[Schedule Delivery Date]],"mmmm")</f>
        <v>December</v>
      </c>
      <c r="J113">
        <f>YEAR(financials[[#This Row],[Schedule Delivery Date]])</f>
        <v>2025</v>
      </c>
      <c r="K113" s="9">
        <v>12</v>
      </c>
      <c r="L113" s="10">
        <v>45996</v>
      </c>
      <c r="M113" s="10">
        <v>45996</v>
      </c>
    </row>
    <row r="114" spans="1:13" x14ac:dyDescent="0.25">
      <c r="A114" t="s">
        <v>9</v>
      </c>
      <c r="B114">
        <v>113</v>
      </c>
      <c r="C114" t="s">
        <v>12</v>
      </c>
      <c r="D114" s="4" t="s">
        <v>33</v>
      </c>
      <c r="E114" s="1">
        <v>747.6</v>
      </c>
      <c r="F114">
        <v>2136</v>
      </c>
      <c r="G114" s="1">
        <v>10</v>
      </c>
      <c r="H114" s="1">
        <v>7</v>
      </c>
      <c r="I114" s="4" t="str">
        <f>TEXT(financials[[#This Row],[Schedule Delivery Date]],"mmmm")</f>
        <v>December</v>
      </c>
      <c r="J114">
        <f>YEAR(financials[[#This Row],[Schedule Delivery Date]])</f>
        <v>2025</v>
      </c>
      <c r="K114" s="9">
        <v>12</v>
      </c>
      <c r="L114" s="10">
        <v>45996</v>
      </c>
      <c r="M114" s="10">
        <v>45998</v>
      </c>
    </row>
    <row r="115" spans="1:13" x14ac:dyDescent="0.25">
      <c r="A115" t="s">
        <v>9</v>
      </c>
      <c r="B115">
        <v>114</v>
      </c>
      <c r="C115" t="s">
        <v>13</v>
      </c>
      <c r="D115" s="4" t="s">
        <v>34</v>
      </c>
      <c r="E115" s="1">
        <v>823.2</v>
      </c>
      <c r="F115">
        <v>588</v>
      </c>
      <c r="G115" s="1">
        <v>120</v>
      </c>
      <c r="H115" s="1">
        <v>20</v>
      </c>
      <c r="I115" s="4" t="str">
        <f>TEXT(financials[[#This Row],[Schedule Delivery Date]],"mmmm")</f>
        <v>December</v>
      </c>
      <c r="J115">
        <f>YEAR(financials[[#This Row],[Schedule Delivery Date]])</f>
        <v>2025</v>
      </c>
      <c r="K115" s="9">
        <v>12</v>
      </c>
      <c r="L115" s="10">
        <v>45996</v>
      </c>
      <c r="M115" s="10">
        <v>46002</v>
      </c>
    </row>
    <row r="116" spans="1:13" x14ac:dyDescent="0.25">
      <c r="A116" t="s">
        <v>9</v>
      </c>
      <c r="B116">
        <v>115</v>
      </c>
      <c r="C116" t="s">
        <v>11</v>
      </c>
      <c r="D116" s="4" t="s">
        <v>32</v>
      </c>
      <c r="E116" s="1">
        <v>1014.93</v>
      </c>
      <c r="F116">
        <v>1611</v>
      </c>
      <c r="G116" s="1">
        <v>5</v>
      </c>
      <c r="H116" s="1">
        <v>7</v>
      </c>
      <c r="I116" s="4" t="str">
        <f>TEXT(financials[[#This Row],[Schedule Delivery Date]],"mmmm")</f>
        <v>December</v>
      </c>
      <c r="J116">
        <f>YEAR(financials[[#This Row],[Schedule Delivery Date]])</f>
        <v>2025</v>
      </c>
      <c r="K116" s="9">
        <v>12</v>
      </c>
      <c r="L116" s="10">
        <v>45996</v>
      </c>
      <c r="M116" s="10">
        <v>45996</v>
      </c>
    </row>
    <row r="117" spans="1:13" x14ac:dyDescent="0.25">
      <c r="A117" t="s">
        <v>9</v>
      </c>
      <c r="B117">
        <v>116</v>
      </c>
      <c r="C117" t="s">
        <v>12</v>
      </c>
      <c r="D117" s="4" t="s">
        <v>34</v>
      </c>
      <c r="E117" s="1">
        <v>1033</v>
      </c>
      <c r="F117">
        <v>1033</v>
      </c>
      <c r="G117" s="1">
        <v>120</v>
      </c>
      <c r="H117" s="1">
        <v>20</v>
      </c>
      <c r="I117" s="4" t="str">
        <f>TEXT(financials[[#This Row],[Schedule Delivery Date]],"mmmm")</f>
        <v>December</v>
      </c>
      <c r="J117">
        <f>YEAR(financials[[#This Row],[Schedule Delivery Date]])</f>
        <v>2025</v>
      </c>
      <c r="K117" s="9">
        <v>12</v>
      </c>
      <c r="L117" s="10">
        <v>45996</v>
      </c>
      <c r="M117" s="10">
        <v>45998</v>
      </c>
    </row>
    <row r="118" spans="1:13" x14ac:dyDescent="0.25">
      <c r="A118" t="s">
        <v>9</v>
      </c>
      <c r="B118">
        <v>117</v>
      </c>
      <c r="C118" t="s">
        <v>13</v>
      </c>
      <c r="D118" s="4" t="s">
        <v>33</v>
      </c>
      <c r="E118" s="1">
        <v>1041.25</v>
      </c>
      <c r="F118">
        <v>2125</v>
      </c>
      <c r="G118" s="1">
        <v>10</v>
      </c>
      <c r="H118" s="1">
        <v>7</v>
      </c>
      <c r="I118" s="4" t="str">
        <f>TEXT(financials[[#This Row],[Schedule Delivery Date]],"mmmm")</f>
        <v>January</v>
      </c>
      <c r="J118">
        <f>YEAR(financials[[#This Row],[Schedule Delivery Date]])</f>
        <v>2026</v>
      </c>
      <c r="K118" s="9">
        <v>12</v>
      </c>
      <c r="L118" s="10">
        <v>46034</v>
      </c>
      <c r="M118" s="10">
        <v>46034</v>
      </c>
    </row>
    <row r="119" spans="1:13" x14ac:dyDescent="0.25">
      <c r="A119" t="s">
        <v>9</v>
      </c>
      <c r="B119">
        <v>118</v>
      </c>
      <c r="C119" t="s">
        <v>14</v>
      </c>
      <c r="D119" s="4" t="s">
        <v>33</v>
      </c>
      <c r="E119" s="1">
        <v>1089.76</v>
      </c>
      <c r="F119">
        <v>1946</v>
      </c>
      <c r="G119" s="1">
        <v>10</v>
      </c>
      <c r="H119" s="1">
        <v>7</v>
      </c>
      <c r="I119" s="4" t="str">
        <f>TEXT(financials[[#This Row],[Schedule Delivery Date]],"mmmm")</f>
        <v>January</v>
      </c>
      <c r="J119">
        <f>YEAR(financials[[#This Row],[Schedule Delivery Date]])</f>
        <v>2026</v>
      </c>
      <c r="K119" s="9">
        <v>12</v>
      </c>
      <c r="L119" s="10">
        <v>46033</v>
      </c>
      <c r="M119" s="10">
        <v>46032</v>
      </c>
    </row>
    <row r="120" spans="1:13" x14ac:dyDescent="0.25">
      <c r="A120" t="s">
        <v>10</v>
      </c>
      <c r="B120">
        <v>119</v>
      </c>
      <c r="C120" t="s">
        <v>14</v>
      </c>
      <c r="D120" s="4" t="s">
        <v>36</v>
      </c>
      <c r="E120" s="1">
        <v>1320</v>
      </c>
      <c r="F120">
        <v>1375</v>
      </c>
      <c r="G120" s="1">
        <v>260</v>
      </c>
      <c r="H120" s="1">
        <v>12</v>
      </c>
      <c r="I120" s="4" t="str">
        <f>TEXT(financials[[#This Row],[Schedule Delivery Date]],"mmmm")</f>
        <v>January</v>
      </c>
      <c r="J120">
        <f>YEAR(financials[[#This Row],[Schedule Delivery Date]])</f>
        <v>2026</v>
      </c>
      <c r="K120" s="9">
        <v>12</v>
      </c>
      <c r="L120" s="10">
        <v>46033</v>
      </c>
      <c r="M120" s="10">
        <v>46033</v>
      </c>
    </row>
    <row r="121" spans="1:13" x14ac:dyDescent="0.25">
      <c r="A121" t="s">
        <v>7</v>
      </c>
      <c r="B121">
        <v>120</v>
      </c>
      <c r="C121" t="s">
        <v>12</v>
      </c>
      <c r="D121" s="4" t="s">
        <v>33</v>
      </c>
      <c r="E121" s="1">
        <v>1356.6</v>
      </c>
      <c r="F121">
        <v>2261</v>
      </c>
      <c r="G121" s="1">
        <v>10</v>
      </c>
      <c r="H121" s="1">
        <v>15</v>
      </c>
      <c r="I121" s="4" t="str">
        <f>TEXT(financials[[#This Row],[Schedule Delivery Date]],"mmmm")</f>
        <v>December</v>
      </c>
      <c r="J121">
        <f>YEAR(financials[[#This Row],[Schedule Delivery Date]])</f>
        <v>2025</v>
      </c>
      <c r="K121" s="9">
        <v>12</v>
      </c>
      <c r="L121" s="10">
        <v>45996</v>
      </c>
      <c r="M121" s="10">
        <v>45996</v>
      </c>
    </row>
    <row r="122" spans="1:13" x14ac:dyDescent="0.25">
      <c r="A122" t="s">
        <v>7</v>
      </c>
      <c r="B122">
        <v>121</v>
      </c>
      <c r="C122" t="s">
        <v>13</v>
      </c>
      <c r="D122" s="4" t="s">
        <v>33</v>
      </c>
      <c r="E122" s="1">
        <v>1587</v>
      </c>
      <c r="F122">
        <v>2116</v>
      </c>
      <c r="G122" s="1">
        <v>10</v>
      </c>
      <c r="H122" s="1">
        <v>15</v>
      </c>
      <c r="I122" s="4" t="str">
        <f>TEXT(financials[[#This Row],[Schedule Delivery Date]],"mmmm")</f>
        <v>December</v>
      </c>
      <c r="J122">
        <f>YEAR(financials[[#This Row],[Schedule Delivery Date]])</f>
        <v>2025</v>
      </c>
      <c r="K122" s="9">
        <v>12</v>
      </c>
      <c r="L122" s="10">
        <v>45996</v>
      </c>
      <c r="M122" s="10">
        <v>45997</v>
      </c>
    </row>
    <row r="123" spans="1:13" x14ac:dyDescent="0.25">
      <c r="A123" t="s">
        <v>9</v>
      </c>
      <c r="B123">
        <v>122</v>
      </c>
      <c r="C123" t="s">
        <v>11</v>
      </c>
      <c r="D123" s="4" t="s">
        <v>33</v>
      </c>
      <c r="E123" s="1">
        <v>1802</v>
      </c>
      <c r="F123">
        <v>1802</v>
      </c>
      <c r="G123" s="1">
        <v>10</v>
      </c>
      <c r="H123" s="1">
        <v>20</v>
      </c>
      <c r="I123" s="4" t="str">
        <f>TEXT(financials[[#This Row],[Schedule Delivery Date]],"mmmm")</f>
        <v>December</v>
      </c>
      <c r="J123">
        <f>YEAR(financials[[#This Row],[Schedule Delivery Date]])</f>
        <v>2025</v>
      </c>
      <c r="K123" s="9">
        <v>12</v>
      </c>
      <c r="L123" s="10">
        <v>45996</v>
      </c>
      <c r="M123" s="10">
        <v>45997</v>
      </c>
    </row>
    <row r="124" spans="1:13" x14ac:dyDescent="0.25">
      <c r="A124" t="s">
        <v>9</v>
      </c>
      <c r="B124">
        <v>123</v>
      </c>
      <c r="C124" t="s">
        <v>52</v>
      </c>
      <c r="D124" s="4" t="s">
        <v>35</v>
      </c>
      <c r="E124" s="1">
        <v>1862</v>
      </c>
      <c r="F124">
        <v>266</v>
      </c>
      <c r="G124" s="1">
        <v>250</v>
      </c>
      <c r="H124" s="1">
        <v>350</v>
      </c>
      <c r="I124" s="4" t="str">
        <f>TEXT(financials[[#This Row],[Schedule Delivery Date]],"mmmm")</f>
        <v>January</v>
      </c>
      <c r="J124">
        <f>YEAR(financials[[#This Row],[Schedule Delivery Date]])</f>
        <v>2026</v>
      </c>
      <c r="K124" s="9">
        <v>12</v>
      </c>
      <c r="L124" s="10">
        <v>46033</v>
      </c>
      <c r="M124" s="10">
        <v>46027</v>
      </c>
    </row>
    <row r="125" spans="1:13" x14ac:dyDescent="0.25">
      <c r="A125" t="s">
        <v>9</v>
      </c>
      <c r="B125">
        <v>124</v>
      </c>
      <c r="C125" t="s">
        <v>52</v>
      </c>
      <c r="D125" s="4" t="s">
        <v>34</v>
      </c>
      <c r="E125" s="1">
        <v>1989.4</v>
      </c>
      <c r="F125">
        <v>1421</v>
      </c>
      <c r="G125" s="1">
        <v>120</v>
      </c>
      <c r="H125" s="1">
        <v>20</v>
      </c>
      <c r="I125" s="4" t="str">
        <f>TEXT(financials[[#This Row],[Schedule Delivery Date]],"mmmm")</f>
        <v>March</v>
      </c>
      <c r="J125">
        <f>YEAR(financials[[#This Row],[Schedule Delivery Date]])</f>
        <v>2026</v>
      </c>
      <c r="K125" s="9">
        <v>12</v>
      </c>
      <c r="L125" s="11">
        <v>46091</v>
      </c>
      <c r="M125" s="10"/>
    </row>
    <row r="126" spans="1:13" x14ac:dyDescent="0.25">
      <c r="A126" t="s">
        <v>10</v>
      </c>
      <c r="B126">
        <v>125</v>
      </c>
      <c r="C126" t="s">
        <v>13</v>
      </c>
      <c r="D126" s="4" t="s">
        <v>36</v>
      </c>
      <c r="E126" s="1">
        <v>2761.2</v>
      </c>
      <c r="F126">
        <v>1770</v>
      </c>
      <c r="G126" s="1">
        <v>260</v>
      </c>
      <c r="H126" s="1">
        <v>12</v>
      </c>
      <c r="I126" s="4" t="str">
        <f>TEXT(financials[[#This Row],[Schedule Delivery Date]],"mmmm")</f>
        <v>January</v>
      </c>
      <c r="J126">
        <f>YEAR(financials[[#This Row],[Schedule Delivery Date]])</f>
        <v>2026</v>
      </c>
      <c r="K126" s="9">
        <v>12</v>
      </c>
      <c r="L126" s="10">
        <v>46033</v>
      </c>
      <c r="M126" s="10">
        <v>46029</v>
      </c>
    </row>
    <row r="127" spans="1:13" x14ac:dyDescent="0.25">
      <c r="A127" t="s">
        <v>10</v>
      </c>
      <c r="B127">
        <v>126</v>
      </c>
      <c r="C127" t="s">
        <v>52</v>
      </c>
      <c r="D127" s="4" t="s">
        <v>36</v>
      </c>
      <c r="E127" s="1">
        <v>3385.2</v>
      </c>
      <c r="F127">
        <v>2015</v>
      </c>
      <c r="G127" s="1">
        <v>260</v>
      </c>
      <c r="H127" s="1">
        <v>12</v>
      </c>
      <c r="I127" s="4" t="str">
        <f>TEXT(financials[[#This Row],[Schedule Delivery Date]],"mmmm")</f>
        <v>December</v>
      </c>
      <c r="J127">
        <f>YEAR(financials[[#This Row],[Schedule Delivery Date]])</f>
        <v>2025</v>
      </c>
      <c r="K127" s="9">
        <v>12</v>
      </c>
      <c r="L127" s="10">
        <v>45996</v>
      </c>
      <c r="M127" s="10">
        <v>45997</v>
      </c>
    </row>
    <row r="128" spans="1:13" x14ac:dyDescent="0.25">
      <c r="A128" t="s">
        <v>8</v>
      </c>
      <c r="B128">
        <v>127</v>
      </c>
      <c r="C128" t="s">
        <v>13</v>
      </c>
      <c r="D128" s="4" t="s">
        <v>31</v>
      </c>
      <c r="E128" s="1">
        <v>6652.5</v>
      </c>
      <c r="F128">
        <v>887</v>
      </c>
      <c r="G128" s="1">
        <v>3</v>
      </c>
      <c r="H128" s="1">
        <v>125</v>
      </c>
      <c r="I128" s="4" t="str">
        <f>TEXT(financials[[#This Row],[Schedule Delivery Date]],"mmmm")</f>
        <v>December</v>
      </c>
      <c r="J128">
        <f>YEAR(financials[[#This Row],[Schedule Delivery Date]])</f>
        <v>2025</v>
      </c>
      <c r="K128" s="9">
        <v>12</v>
      </c>
      <c r="L128" s="10">
        <v>46003</v>
      </c>
      <c r="M128" s="10">
        <v>46025</v>
      </c>
    </row>
    <row r="129" spans="1:13" x14ac:dyDescent="0.25">
      <c r="A129" t="s">
        <v>6</v>
      </c>
      <c r="B129">
        <v>128</v>
      </c>
      <c r="C129" t="s">
        <v>13</v>
      </c>
      <c r="D129" s="4" t="s">
        <v>32</v>
      </c>
      <c r="E129" s="1">
        <v>9018</v>
      </c>
      <c r="F129">
        <v>334</v>
      </c>
      <c r="G129" s="1">
        <v>5</v>
      </c>
      <c r="H129" s="1">
        <v>300</v>
      </c>
      <c r="I129" s="4" t="str">
        <f>TEXT(financials[[#This Row],[Schedule Delivery Date]],"mmmm")</f>
        <v>December</v>
      </c>
      <c r="J129">
        <f>YEAR(financials[[#This Row],[Schedule Delivery Date]])</f>
        <v>2025</v>
      </c>
      <c r="K129" s="9">
        <v>12</v>
      </c>
      <c r="L129" s="10">
        <v>46005</v>
      </c>
      <c r="M129" s="10">
        <v>46029</v>
      </c>
    </row>
    <row r="130" spans="1:13" x14ac:dyDescent="0.25">
      <c r="A130" t="s">
        <v>9</v>
      </c>
      <c r="B130">
        <v>129</v>
      </c>
      <c r="C130" t="s">
        <v>14</v>
      </c>
      <c r="D130" s="4" t="s">
        <v>35</v>
      </c>
      <c r="E130" s="1">
        <v>13580</v>
      </c>
      <c r="F130">
        <v>1940</v>
      </c>
      <c r="G130" s="1">
        <v>250</v>
      </c>
      <c r="H130" s="1">
        <v>350</v>
      </c>
      <c r="I130" s="4" t="str">
        <f>TEXT(financials[[#This Row],[Schedule Delivery Date]],"mmmm")</f>
        <v>December</v>
      </c>
      <c r="J130">
        <f>YEAR(financials[[#This Row],[Schedule Delivery Date]])</f>
        <v>2025</v>
      </c>
      <c r="K130" s="9">
        <v>12</v>
      </c>
      <c r="L130" s="10">
        <v>46007</v>
      </c>
      <c r="M130" s="10">
        <v>46028</v>
      </c>
    </row>
    <row r="131" spans="1:13" x14ac:dyDescent="0.25">
      <c r="A131" t="s">
        <v>6</v>
      </c>
      <c r="B131">
        <v>130</v>
      </c>
      <c r="C131" t="s">
        <v>14</v>
      </c>
      <c r="D131" s="4" t="s">
        <v>32</v>
      </c>
      <c r="E131" s="1">
        <v>16500</v>
      </c>
      <c r="F131">
        <v>1100</v>
      </c>
      <c r="G131" s="1">
        <v>5</v>
      </c>
      <c r="H131" s="1">
        <v>300</v>
      </c>
      <c r="I131" s="4" t="str">
        <f>TEXT(financials[[#This Row],[Schedule Delivery Date]],"mmmm")</f>
        <v>December</v>
      </c>
      <c r="J131">
        <f>YEAR(financials[[#This Row],[Schedule Delivery Date]])</f>
        <v>2025</v>
      </c>
      <c r="K131" s="9">
        <v>12</v>
      </c>
      <c r="L131" s="10">
        <v>46007</v>
      </c>
      <c r="M131" s="10">
        <v>46029</v>
      </c>
    </row>
    <row r="132" spans="1:13" x14ac:dyDescent="0.25">
      <c r="A132" t="s">
        <v>8</v>
      </c>
      <c r="B132">
        <v>131</v>
      </c>
      <c r="C132" t="s">
        <v>12</v>
      </c>
      <c r="D132" s="4" t="s">
        <v>31</v>
      </c>
      <c r="E132" s="1">
        <v>18525</v>
      </c>
      <c r="F132">
        <v>1482</v>
      </c>
      <c r="G132" s="1">
        <v>3</v>
      </c>
      <c r="H132" s="1">
        <v>125</v>
      </c>
      <c r="I132" s="4" t="str">
        <f>TEXT(financials[[#This Row],[Schedule Delivery Date]],"mmmm")</f>
        <v>December</v>
      </c>
      <c r="J132">
        <f>YEAR(financials[[#This Row],[Schedule Delivery Date]])</f>
        <v>2025</v>
      </c>
      <c r="K132" s="9">
        <v>12</v>
      </c>
      <c r="L132" s="10">
        <v>46008</v>
      </c>
      <c r="M132" s="10">
        <v>46028</v>
      </c>
    </row>
    <row r="133" spans="1:13" x14ac:dyDescent="0.25">
      <c r="A133" t="s">
        <v>6</v>
      </c>
      <c r="B133">
        <v>132</v>
      </c>
      <c r="C133" t="s">
        <v>52</v>
      </c>
      <c r="D133" s="4" t="s">
        <v>35</v>
      </c>
      <c r="E133" s="1">
        <v>19392</v>
      </c>
      <c r="F133">
        <v>808</v>
      </c>
      <c r="G133" s="1">
        <v>250</v>
      </c>
      <c r="H133" s="1">
        <v>300</v>
      </c>
      <c r="I133" s="4" t="str">
        <f>TEXT(financials[[#This Row],[Schedule Delivery Date]],"mmmm")</f>
        <v>December</v>
      </c>
      <c r="J133">
        <f>YEAR(financials[[#This Row],[Schedule Delivery Date]])</f>
        <v>2025</v>
      </c>
      <c r="K133" s="9">
        <v>12</v>
      </c>
      <c r="L133" s="10">
        <v>46009</v>
      </c>
      <c r="M133" s="10">
        <v>46029</v>
      </c>
    </row>
    <row r="134" spans="1:13" x14ac:dyDescent="0.25">
      <c r="A134" t="s">
        <v>8</v>
      </c>
      <c r="B134">
        <v>133</v>
      </c>
      <c r="C134" t="s">
        <v>11</v>
      </c>
      <c r="D134" s="4" t="s">
        <v>34</v>
      </c>
      <c r="E134" s="1">
        <v>23950</v>
      </c>
      <c r="F134">
        <v>1916</v>
      </c>
      <c r="G134" s="1">
        <v>120</v>
      </c>
      <c r="H134" s="1">
        <v>125</v>
      </c>
      <c r="I134" s="4" t="str">
        <f>TEXT(financials[[#This Row],[Schedule Delivery Date]],"mmmm")</f>
        <v>December</v>
      </c>
      <c r="J134">
        <f>YEAR(financials[[#This Row],[Schedule Delivery Date]])</f>
        <v>2025</v>
      </c>
      <c r="K134" s="9">
        <v>12</v>
      </c>
      <c r="L134" s="10">
        <v>46010</v>
      </c>
      <c r="M134" s="10">
        <v>46028</v>
      </c>
    </row>
    <row r="135" spans="1:13" x14ac:dyDescent="0.25">
      <c r="A135" t="s">
        <v>9</v>
      </c>
      <c r="B135">
        <v>134</v>
      </c>
      <c r="C135" t="s">
        <v>11</v>
      </c>
      <c r="D135" s="4" t="s">
        <v>36</v>
      </c>
      <c r="E135" s="1">
        <v>24892</v>
      </c>
      <c r="F135">
        <v>1778</v>
      </c>
      <c r="G135" s="1">
        <v>260</v>
      </c>
      <c r="H135" s="1">
        <v>350</v>
      </c>
      <c r="I135" s="4" t="str">
        <f>TEXT(financials[[#This Row],[Schedule Delivery Date]],"mmmm")</f>
        <v>December</v>
      </c>
      <c r="J135">
        <f>YEAR(financials[[#This Row],[Schedule Delivery Date]])</f>
        <v>2025</v>
      </c>
      <c r="K135" s="9">
        <v>12</v>
      </c>
      <c r="L135" s="10">
        <v>46010</v>
      </c>
      <c r="M135" s="10">
        <v>46027</v>
      </c>
    </row>
    <row r="136" spans="1:13" x14ac:dyDescent="0.25">
      <c r="A136" t="s">
        <v>6</v>
      </c>
      <c r="B136">
        <v>135</v>
      </c>
      <c r="C136" t="s">
        <v>12</v>
      </c>
      <c r="D136" s="4" t="s">
        <v>32</v>
      </c>
      <c r="E136" s="1">
        <v>42696</v>
      </c>
      <c r="F136">
        <v>1186</v>
      </c>
      <c r="G136" s="1">
        <v>5</v>
      </c>
      <c r="H136" s="1">
        <v>300</v>
      </c>
      <c r="I136" s="4" t="str">
        <f>TEXT(financials[[#This Row],[Schedule Delivery Date]],"mmmm")</f>
        <v>December</v>
      </c>
      <c r="J136">
        <f>YEAR(financials[[#This Row],[Schedule Delivery Date]])</f>
        <v>2025</v>
      </c>
      <c r="K136" s="9">
        <v>12</v>
      </c>
      <c r="L136" s="10">
        <v>46011</v>
      </c>
      <c r="M136" s="10">
        <v>46029</v>
      </c>
    </row>
    <row r="137" spans="1:13" x14ac:dyDescent="0.25">
      <c r="A137" t="s">
        <v>6</v>
      </c>
      <c r="B137">
        <v>136</v>
      </c>
      <c r="C137" t="s">
        <v>11</v>
      </c>
      <c r="D137" s="4" t="s">
        <v>35</v>
      </c>
      <c r="E137" s="1">
        <v>43848</v>
      </c>
      <c r="F137">
        <v>2436</v>
      </c>
      <c r="G137" s="1">
        <v>250</v>
      </c>
      <c r="H137" s="1">
        <v>300</v>
      </c>
      <c r="I137" s="4" t="str">
        <f>TEXT(financials[[#This Row],[Schedule Delivery Date]],"mmmm")</f>
        <v>December</v>
      </c>
      <c r="J137">
        <f>YEAR(financials[[#This Row],[Schedule Delivery Date]])</f>
        <v>2025</v>
      </c>
      <c r="K137" s="9">
        <v>12</v>
      </c>
      <c r="L137" s="10">
        <v>46007</v>
      </c>
      <c r="M137" s="10">
        <v>46007</v>
      </c>
    </row>
    <row r="138" spans="1:13" x14ac:dyDescent="0.25">
      <c r="A138" t="s">
        <v>8</v>
      </c>
      <c r="B138">
        <v>137</v>
      </c>
      <c r="C138" t="s">
        <v>52</v>
      </c>
      <c r="D138" s="4" t="s">
        <v>34</v>
      </c>
      <c r="E138" s="1">
        <v>45712.5</v>
      </c>
      <c r="F138">
        <v>2438</v>
      </c>
      <c r="G138" s="1">
        <v>120</v>
      </c>
      <c r="H138" s="1">
        <v>125</v>
      </c>
      <c r="I138" s="4" t="str">
        <f>TEXT(financials[[#This Row],[Schedule Delivery Date]],"mmmm")</f>
        <v>December</v>
      </c>
      <c r="J138">
        <f>YEAR(financials[[#This Row],[Schedule Delivery Date]])</f>
        <v>2025</v>
      </c>
      <c r="K138" s="9">
        <v>12</v>
      </c>
      <c r="L138" s="10">
        <v>46007</v>
      </c>
      <c r="M138" s="10">
        <v>46007</v>
      </c>
    </row>
    <row r="139" spans="1:13" x14ac:dyDescent="0.25">
      <c r="A139" t="s">
        <v>8</v>
      </c>
      <c r="B139">
        <v>138</v>
      </c>
      <c r="C139" t="s">
        <v>14</v>
      </c>
      <c r="D139" s="4" t="s">
        <v>31</v>
      </c>
      <c r="E139" s="1">
        <v>49367.5</v>
      </c>
      <c r="F139">
        <v>2821</v>
      </c>
      <c r="G139" s="1">
        <v>3</v>
      </c>
      <c r="H139" s="1">
        <v>125</v>
      </c>
      <c r="I139" s="4" t="str">
        <f>TEXT(financials[[#This Row],[Schedule Delivery Date]],"mmmm")</f>
        <v>December</v>
      </c>
      <c r="J139">
        <f>YEAR(financials[[#This Row],[Schedule Delivery Date]])</f>
        <v>2025</v>
      </c>
      <c r="K139" s="9">
        <v>12</v>
      </c>
      <c r="L139" s="10">
        <v>46007</v>
      </c>
      <c r="M139" s="10">
        <v>46007</v>
      </c>
    </row>
    <row r="140" spans="1:13" x14ac:dyDescent="0.25">
      <c r="A140" t="s">
        <v>9</v>
      </c>
      <c r="B140">
        <v>139</v>
      </c>
      <c r="C140" t="s">
        <v>12</v>
      </c>
      <c r="D140" s="4" t="s">
        <v>35</v>
      </c>
      <c r="E140" s="1">
        <v>62769</v>
      </c>
      <c r="F140">
        <v>1281</v>
      </c>
      <c r="G140" s="1">
        <v>250</v>
      </c>
      <c r="H140" s="1">
        <v>350</v>
      </c>
      <c r="I140" s="4" t="str">
        <f>TEXT(financials[[#This Row],[Schedule Delivery Date]],"mmmm")</f>
        <v>December</v>
      </c>
      <c r="J140">
        <f>YEAR(financials[[#This Row],[Schedule Delivery Date]])</f>
        <v>2025</v>
      </c>
      <c r="K140" s="9">
        <v>12</v>
      </c>
      <c r="L140" s="10">
        <v>46007</v>
      </c>
      <c r="M140" s="10">
        <v>46007</v>
      </c>
    </row>
    <row r="141" spans="1:13" x14ac:dyDescent="0.25">
      <c r="A141" t="s">
        <v>9</v>
      </c>
      <c r="B141">
        <v>140</v>
      </c>
      <c r="C141" t="s">
        <v>13</v>
      </c>
      <c r="D141" s="4" t="s">
        <v>35</v>
      </c>
      <c r="E141" s="1">
        <v>65450</v>
      </c>
      <c r="F141">
        <v>1870</v>
      </c>
      <c r="G141" s="1">
        <v>250</v>
      </c>
      <c r="H141" s="1">
        <v>350</v>
      </c>
      <c r="I141" s="4" t="str">
        <f>TEXT(financials[[#This Row],[Schedule Delivery Date]],"mmmm")</f>
        <v>December</v>
      </c>
      <c r="J141">
        <f>YEAR(financials[[#This Row],[Schedule Delivery Date]])</f>
        <v>2025</v>
      </c>
      <c r="K141" s="9">
        <v>12</v>
      </c>
      <c r="L141" s="10">
        <v>46007</v>
      </c>
      <c r="M141" s="10">
        <v>46007</v>
      </c>
    </row>
    <row r="142" spans="1:13" x14ac:dyDescent="0.25">
      <c r="A142" t="s">
        <v>7</v>
      </c>
      <c r="B142">
        <v>141</v>
      </c>
      <c r="C142" t="s">
        <v>12</v>
      </c>
      <c r="D142" s="4" t="s">
        <v>33</v>
      </c>
      <c r="E142" s="1">
        <v>0</v>
      </c>
      <c r="F142">
        <v>549</v>
      </c>
      <c r="G142" s="1">
        <v>10</v>
      </c>
      <c r="H142" s="1">
        <v>15</v>
      </c>
      <c r="I142" s="4" t="str">
        <f>TEXT(financials[[#This Row],[Schedule Delivery Date]],"mmmm")</f>
        <v>December</v>
      </c>
      <c r="J142">
        <f>YEAR(financials[[#This Row],[Schedule Delivery Date]])</f>
        <v>2025</v>
      </c>
      <c r="K142" s="9">
        <v>9</v>
      </c>
      <c r="L142" s="10">
        <v>46012</v>
      </c>
      <c r="M142" s="10">
        <v>46008</v>
      </c>
    </row>
    <row r="143" spans="1:13" x14ac:dyDescent="0.25">
      <c r="A143" t="s">
        <v>6</v>
      </c>
      <c r="B143">
        <v>142</v>
      </c>
      <c r="C143" t="s">
        <v>14</v>
      </c>
      <c r="D143" s="4" t="s">
        <v>33</v>
      </c>
      <c r="E143" s="1">
        <v>0</v>
      </c>
      <c r="F143">
        <v>788</v>
      </c>
      <c r="G143" s="1">
        <v>10</v>
      </c>
      <c r="H143" s="1">
        <v>300</v>
      </c>
      <c r="I143" s="4" t="str">
        <f>TEXT(financials[[#This Row],[Schedule Delivery Date]],"mmmm")</f>
        <v>December</v>
      </c>
      <c r="J143">
        <f>YEAR(financials[[#This Row],[Schedule Delivery Date]])</f>
        <v>2025</v>
      </c>
      <c r="K143" s="9">
        <v>9</v>
      </c>
      <c r="L143" s="10">
        <v>46012</v>
      </c>
      <c r="M143" s="10">
        <v>46009</v>
      </c>
    </row>
    <row r="144" spans="1:13" x14ac:dyDescent="0.25">
      <c r="A144" t="s">
        <v>9</v>
      </c>
      <c r="B144">
        <v>143</v>
      </c>
      <c r="C144" t="s">
        <v>12</v>
      </c>
      <c r="D144" s="4" t="s">
        <v>35</v>
      </c>
      <c r="E144" s="1">
        <v>0</v>
      </c>
      <c r="F144">
        <v>1527</v>
      </c>
      <c r="G144" s="1">
        <v>250</v>
      </c>
      <c r="H144" s="1">
        <v>350</v>
      </c>
      <c r="I144" s="4" t="str">
        <f>TEXT(financials[[#This Row],[Schedule Delivery Date]],"mmmm")</f>
        <v>December</v>
      </c>
      <c r="J144">
        <f>YEAR(financials[[#This Row],[Schedule Delivery Date]])</f>
        <v>2025</v>
      </c>
      <c r="K144" s="9">
        <v>9</v>
      </c>
      <c r="L144" s="10">
        <v>46012</v>
      </c>
      <c r="M144" s="10">
        <v>46009</v>
      </c>
    </row>
    <row r="145" spans="1:13" x14ac:dyDescent="0.25">
      <c r="A145" t="s">
        <v>10</v>
      </c>
      <c r="B145">
        <v>144</v>
      </c>
      <c r="C145" t="s">
        <v>52</v>
      </c>
      <c r="D145" s="4" t="s">
        <v>36</v>
      </c>
      <c r="E145" s="1">
        <v>238.68</v>
      </c>
      <c r="F145">
        <v>1989</v>
      </c>
      <c r="G145" s="1">
        <v>260</v>
      </c>
      <c r="H145" s="1">
        <v>12</v>
      </c>
      <c r="I145" s="4" t="str">
        <f>TEXT(financials[[#This Row],[Schedule Delivery Date]],"mmmm")</f>
        <v>December</v>
      </c>
      <c r="J145">
        <f>YEAR(financials[[#This Row],[Schedule Delivery Date]])</f>
        <v>2025</v>
      </c>
      <c r="K145" s="9">
        <v>9</v>
      </c>
      <c r="L145" s="10">
        <v>46012</v>
      </c>
      <c r="M145" s="10">
        <v>46008</v>
      </c>
    </row>
    <row r="146" spans="1:13" x14ac:dyDescent="0.25">
      <c r="A146" t="s">
        <v>9</v>
      </c>
      <c r="B146">
        <v>145</v>
      </c>
      <c r="C146" t="s">
        <v>52</v>
      </c>
      <c r="D146" s="4" t="s">
        <v>33</v>
      </c>
      <c r="E146" s="1">
        <v>292.60000000000002</v>
      </c>
      <c r="F146">
        <v>380</v>
      </c>
      <c r="G146" s="1">
        <v>10</v>
      </c>
      <c r="H146" s="1">
        <v>7</v>
      </c>
      <c r="I146" s="4" t="str">
        <f>TEXT(financials[[#This Row],[Schedule Delivery Date]],"mmmm")</f>
        <v>December</v>
      </c>
      <c r="J146">
        <f>YEAR(financials[[#This Row],[Schedule Delivery Date]])</f>
        <v>2025</v>
      </c>
      <c r="K146" s="9">
        <v>9</v>
      </c>
      <c r="L146" s="10">
        <v>46012</v>
      </c>
      <c r="M146" s="10">
        <v>46009</v>
      </c>
    </row>
    <row r="147" spans="1:13" x14ac:dyDescent="0.25">
      <c r="A147" t="s">
        <v>9</v>
      </c>
      <c r="B147">
        <v>146</v>
      </c>
      <c r="C147" t="s">
        <v>14</v>
      </c>
      <c r="D147" s="4" t="s">
        <v>33</v>
      </c>
      <c r="E147" s="1">
        <v>369.6</v>
      </c>
      <c r="F147">
        <v>1760</v>
      </c>
      <c r="G147" s="1">
        <v>10</v>
      </c>
      <c r="H147" s="1">
        <v>7</v>
      </c>
      <c r="I147" s="4" t="str">
        <f>TEXT(financials[[#This Row],[Schedule Delivery Date]],"mmmm")</f>
        <v>December</v>
      </c>
      <c r="J147">
        <f>YEAR(financials[[#This Row],[Schedule Delivery Date]])</f>
        <v>2025</v>
      </c>
      <c r="K147" s="9">
        <v>9</v>
      </c>
      <c r="L147" s="10">
        <v>46012</v>
      </c>
      <c r="M147" s="10">
        <v>46009</v>
      </c>
    </row>
    <row r="148" spans="1:13" x14ac:dyDescent="0.25">
      <c r="A148" t="s">
        <v>8</v>
      </c>
      <c r="B148">
        <v>147</v>
      </c>
      <c r="C148" t="s">
        <v>52</v>
      </c>
      <c r="D148" s="4" t="s">
        <v>31</v>
      </c>
      <c r="E148" s="1">
        <v>412.5</v>
      </c>
      <c r="F148">
        <v>330</v>
      </c>
      <c r="G148" s="1">
        <v>3</v>
      </c>
      <c r="H148" s="1">
        <v>125</v>
      </c>
      <c r="I148" s="4" t="str">
        <f>TEXT(financials[[#This Row],[Schedule Delivery Date]],"mmmm")</f>
        <v>December</v>
      </c>
      <c r="J148">
        <f>YEAR(financials[[#This Row],[Schedule Delivery Date]])</f>
        <v>2025</v>
      </c>
      <c r="K148" s="9">
        <v>9</v>
      </c>
      <c r="L148" s="10">
        <v>46012</v>
      </c>
      <c r="M148" s="10">
        <v>46009</v>
      </c>
    </row>
    <row r="149" spans="1:13" x14ac:dyDescent="0.25">
      <c r="A149" t="s">
        <v>9</v>
      </c>
      <c r="B149">
        <v>148</v>
      </c>
      <c r="C149" t="s">
        <v>12</v>
      </c>
      <c r="D149" s="4" t="s">
        <v>33</v>
      </c>
      <c r="E149" s="1">
        <v>505.19</v>
      </c>
      <c r="F149">
        <v>1031</v>
      </c>
      <c r="G149" s="1">
        <v>10</v>
      </c>
      <c r="H149" s="1">
        <v>7</v>
      </c>
      <c r="I149" s="4" t="str">
        <f>TEXT(financials[[#This Row],[Schedule Delivery Date]],"mmmm")</f>
        <v>December</v>
      </c>
      <c r="J149">
        <f>YEAR(financials[[#This Row],[Schedule Delivery Date]])</f>
        <v>2025</v>
      </c>
      <c r="K149" s="9">
        <v>9</v>
      </c>
      <c r="L149" s="10">
        <v>46012</v>
      </c>
      <c r="M149" s="10">
        <v>46009</v>
      </c>
    </row>
    <row r="150" spans="1:13" x14ac:dyDescent="0.25">
      <c r="A150" t="s">
        <v>9</v>
      </c>
      <c r="B150">
        <v>149</v>
      </c>
      <c r="C150" t="s">
        <v>52</v>
      </c>
      <c r="D150" s="4" t="s">
        <v>34</v>
      </c>
      <c r="E150" s="1">
        <v>588.79999999999995</v>
      </c>
      <c r="F150">
        <v>736</v>
      </c>
      <c r="G150" s="1">
        <v>120</v>
      </c>
      <c r="H150" s="1">
        <v>20</v>
      </c>
      <c r="I150" s="4" t="str">
        <f>TEXT(financials[[#This Row],[Schedule Delivery Date]],"mmmm")</f>
        <v>December</v>
      </c>
      <c r="J150">
        <f>YEAR(financials[[#This Row],[Schedule Delivery Date]])</f>
        <v>2025</v>
      </c>
      <c r="K150" s="9">
        <v>9</v>
      </c>
      <c r="L150" s="10">
        <v>46012</v>
      </c>
      <c r="M150" s="10">
        <v>46008</v>
      </c>
    </row>
    <row r="151" spans="1:13" x14ac:dyDescent="0.25">
      <c r="A151" t="s">
        <v>9</v>
      </c>
      <c r="B151">
        <v>150</v>
      </c>
      <c r="C151" t="s">
        <v>11</v>
      </c>
      <c r="D151" s="4" t="s">
        <v>33</v>
      </c>
      <c r="E151" s="1">
        <v>822.15</v>
      </c>
      <c r="F151">
        <v>2349</v>
      </c>
      <c r="G151" s="1">
        <v>10</v>
      </c>
      <c r="H151" s="1">
        <v>7</v>
      </c>
      <c r="I151" s="4" t="str">
        <f>TEXT(financials[[#This Row],[Schedule Delivery Date]],"mmmm")</f>
        <v>December</v>
      </c>
      <c r="J151">
        <f>YEAR(financials[[#This Row],[Schedule Delivery Date]])</f>
        <v>2025</v>
      </c>
      <c r="K151" s="9">
        <v>9</v>
      </c>
      <c r="L151" s="10">
        <v>46021</v>
      </c>
      <c r="M151" s="10">
        <v>46030</v>
      </c>
    </row>
    <row r="152" spans="1:13" x14ac:dyDescent="0.25">
      <c r="A152" t="s">
        <v>7</v>
      </c>
      <c r="B152">
        <v>151</v>
      </c>
      <c r="C152" t="s">
        <v>14</v>
      </c>
      <c r="D152" s="4" t="s">
        <v>34</v>
      </c>
      <c r="E152" s="1">
        <v>1080.75</v>
      </c>
      <c r="F152">
        <v>655</v>
      </c>
      <c r="G152" s="1">
        <v>120</v>
      </c>
      <c r="H152" s="1">
        <v>15</v>
      </c>
      <c r="I152" s="4" t="str">
        <f>TEXT(financials[[#This Row],[Schedule Delivery Date]],"mmmm")</f>
        <v>December</v>
      </c>
      <c r="J152">
        <f>YEAR(financials[[#This Row],[Schedule Delivery Date]])</f>
        <v>2025</v>
      </c>
      <c r="K152" s="9">
        <v>9</v>
      </c>
      <c r="L152" s="10">
        <v>46021</v>
      </c>
      <c r="M152" s="10">
        <v>46031</v>
      </c>
    </row>
    <row r="153" spans="1:13" x14ac:dyDescent="0.25">
      <c r="A153" t="s">
        <v>9</v>
      </c>
      <c r="B153">
        <v>152</v>
      </c>
      <c r="C153" t="s">
        <v>13</v>
      </c>
      <c r="D153" s="4" t="s">
        <v>31</v>
      </c>
      <c r="E153" s="1">
        <v>1149.2</v>
      </c>
      <c r="F153">
        <v>442</v>
      </c>
      <c r="G153" s="1">
        <v>3</v>
      </c>
      <c r="H153" s="1">
        <v>20</v>
      </c>
      <c r="I153" s="4" t="str">
        <f>TEXT(financials[[#This Row],[Schedule Delivery Date]],"mmmm")</f>
        <v>December</v>
      </c>
      <c r="J153">
        <f>YEAR(financials[[#This Row],[Schedule Delivery Date]])</f>
        <v>2025</v>
      </c>
      <c r="K153" s="9">
        <v>9</v>
      </c>
      <c r="L153" s="10">
        <v>46021</v>
      </c>
      <c r="M153" s="10">
        <v>46028</v>
      </c>
    </row>
    <row r="154" spans="1:13" x14ac:dyDescent="0.25">
      <c r="A154" t="s">
        <v>7</v>
      </c>
      <c r="B154">
        <v>153</v>
      </c>
      <c r="C154" t="s">
        <v>13</v>
      </c>
      <c r="D154" s="4" t="s">
        <v>34</v>
      </c>
      <c r="E154" s="1">
        <v>1287</v>
      </c>
      <c r="F154">
        <v>660</v>
      </c>
      <c r="G154" s="1">
        <v>120</v>
      </c>
      <c r="H154" s="1">
        <v>15</v>
      </c>
      <c r="I154" s="4" t="str">
        <f>TEXT(financials[[#This Row],[Schedule Delivery Date]],"mmmm")</f>
        <v>December</v>
      </c>
      <c r="J154">
        <f>YEAR(financials[[#This Row],[Schedule Delivery Date]])</f>
        <v>2025</v>
      </c>
      <c r="K154" s="9">
        <v>9</v>
      </c>
      <c r="L154" s="10">
        <v>46021</v>
      </c>
      <c r="M154" s="10">
        <v>46030</v>
      </c>
    </row>
    <row r="155" spans="1:13" x14ac:dyDescent="0.25">
      <c r="A155" t="s">
        <v>10</v>
      </c>
      <c r="B155">
        <v>154</v>
      </c>
      <c r="C155" t="s">
        <v>14</v>
      </c>
      <c r="D155" s="4" t="s">
        <v>35</v>
      </c>
      <c r="E155" s="1">
        <v>1326.6</v>
      </c>
      <c r="F155">
        <v>1005</v>
      </c>
      <c r="G155" s="1">
        <v>250</v>
      </c>
      <c r="H155" s="1">
        <v>12</v>
      </c>
      <c r="I155" s="4" t="str">
        <f>TEXT(financials[[#This Row],[Schedule Delivery Date]],"mmmm")</f>
        <v>December</v>
      </c>
      <c r="J155">
        <f>YEAR(financials[[#This Row],[Schedule Delivery Date]])</f>
        <v>2025</v>
      </c>
      <c r="K155" s="9">
        <v>9</v>
      </c>
      <c r="L155" s="10">
        <v>46021</v>
      </c>
      <c r="M155" s="10">
        <v>46030</v>
      </c>
    </row>
    <row r="156" spans="1:13" x14ac:dyDescent="0.25">
      <c r="A156" t="s">
        <v>9</v>
      </c>
      <c r="B156">
        <v>155</v>
      </c>
      <c r="C156" t="s">
        <v>13</v>
      </c>
      <c r="D156" s="4" t="s">
        <v>33</v>
      </c>
      <c r="E156" s="1">
        <v>1349.04</v>
      </c>
      <c r="F156">
        <v>2409</v>
      </c>
      <c r="G156" s="1">
        <v>10</v>
      </c>
      <c r="H156" s="1">
        <v>7</v>
      </c>
      <c r="I156" s="4" t="str">
        <f>TEXT(financials[[#This Row],[Schedule Delivery Date]],"mmmm")</f>
        <v>January</v>
      </c>
      <c r="J156">
        <f>YEAR(financials[[#This Row],[Schedule Delivery Date]])</f>
        <v>2026</v>
      </c>
      <c r="K156" s="9">
        <v>9</v>
      </c>
      <c r="L156" s="10">
        <v>46027</v>
      </c>
      <c r="M156" s="10">
        <v>46026</v>
      </c>
    </row>
    <row r="157" spans="1:13" x14ac:dyDescent="0.25">
      <c r="A157" t="s">
        <v>10</v>
      </c>
      <c r="B157">
        <v>156</v>
      </c>
      <c r="C157" t="s">
        <v>13</v>
      </c>
      <c r="D157" s="4" t="s">
        <v>35</v>
      </c>
      <c r="E157" s="1">
        <v>1860.6</v>
      </c>
      <c r="F157">
        <v>2215</v>
      </c>
      <c r="G157" s="1">
        <v>250</v>
      </c>
      <c r="H157" s="1">
        <v>12</v>
      </c>
      <c r="I157" s="4" t="str">
        <f>TEXT(financials[[#This Row],[Schedule Delivery Date]],"mmmm")</f>
        <v>January</v>
      </c>
      <c r="J157">
        <f>YEAR(financials[[#This Row],[Schedule Delivery Date]])</f>
        <v>2026</v>
      </c>
      <c r="K157" s="9">
        <v>9</v>
      </c>
      <c r="L157" s="10">
        <v>46028</v>
      </c>
      <c r="M157" s="10">
        <v>46028</v>
      </c>
    </row>
    <row r="158" spans="1:13" x14ac:dyDescent="0.25">
      <c r="A158" t="s">
        <v>9</v>
      </c>
      <c r="B158">
        <v>157</v>
      </c>
      <c r="C158" t="s">
        <v>11</v>
      </c>
      <c r="D158" s="4" t="s">
        <v>34</v>
      </c>
      <c r="E158" s="1">
        <v>2116.8000000000002</v>
      </c>
      <c r="F158">
        <v>2646</v>
      </c>
      <c r="G158" s="1">
        <v>120</v>
      </c>
      <c r="H158" s="1">
        <v>20</v>
      </c>
      <c r="I158" s="4" t="str">
        <f>TEXT(financials[[#This Row],[Schedule Delivery Date]],"mmmm")</f>
        <v>March</v>
      </c>
      <c r="J158">
        <f>YEAR(financials[[#This Row],[Schedule Delivery Date]])</f>
        <v>2026</v>
      </c>
      <c r="K158" s="9">
        <v>9</v>
      </c>
      <c r="L158" s="10">
        <v>46095</v>
      </c>
      <c r="M158" s="10"/>
    </row>
    <row r="159" spans="1:13" x14ac:dyDescent="0.25">
      <c r="A159" t="s">
        <v>10</v>
      </c>
      <c r="B159">
        <v>158</v>
      </c>
      <c r="C159" t="s">
        <v>12</v>
      </c>
      <c r="D159" s="4" t="s">
        <v>35</v>
      </c>
      <c r="E159" s="1">
        <v>2412.7199999999998</v>
      </c>
      <c r="F159">
        <v>2234</v>
      </c>
      <c r="G159" s="1">
        <v>250</v>
      </c>
      <c r="H159" s="1">
        <v>12</v>
      </c>
      <c r="I159" s="4" t="str">
        <f>TEXT(financials[[#This Row],[Schedule Delivery Date]],"mmmm")</f>
        <v>January</v>
      </c>
      <c r="J159">
        <f>YEAR(financials[[#This Row],[Schedule Delivery Date]])</f>
        <v>2026</v>
      </c>
      <c r="K159" s="9">
        <v>9</v>
      </c>
      <c r="L159" s="10">
        <v>46033</v>
      </c>
      <c r="M159" s="10">
        <v>46032</v>
      </c>
    </row>
    <row r="160" spans="1:13" x14ac:dyDescent="0.25">
      <c r="A160" t="s">
        <v>9</v>
      </c>
      <c r="B160">
        <v>159</v>
      </c>
      <c r="C160" t="s">
        <v>14</v>
      </c>
      <c r="D160" s="4" t="s">
        <v>31</v>
      </c>
      <c r="E160" s="1">
        <v>2567.6</v>
      </c>
      <c r="F160">
        <v>1834</v>
      </c>
      <c r="G160" s="1">
        <v>3</v>
      </c>
      <c r="H160" s="1">
        <v>20</v>
      </c>
      <c r="I160" s="4" t="str">
        <f>TEXT(financials[[#This Row],[Schedule Delivery Date]],"mmmm")</f>
        <v>December</v>
      </c>
      <c r="J160">
        <f>YEAR(financials[[#This Row],[Schedule Delivery Date]])</f>
        <v>2025</v>
      </c>
      <c r="K160" s="9">
        <v>9</v>
      </c>
      <c r="L160" s="10">
        <v>46009</v>
      </c>
      <c r="M160" s="10">
        <v>46030</v>
      </c>
    </row>
    <row r="161" spans="1:13" x14ac:dyDescent="0.25">
      <c r="A161" t="s">
        <v>7</v>
      </c>
      <c r="B161">
        <v>160</v>
      </c>
      <c r="C161" t="s">
        <v>52</v>
      </c>
      <c r="D161" s="4" t="s">
        <v>33</v>
      </c>
      <c r="E161" s="1">
        <v>3077.55</v>
      </c>
      <c r="F161">
        <v>2931</v>
      </c>
      <c r="G161" s="1">
        <v>10</v>
      </c>
      <c r="H161" s="1">
        <v>15</v>
      </c>
      <c r="I161" s="4" t="str">
        <f>TEXT(financials[[#This Row],[Schedule Delivery Date]],"mmmm")</f>
        <v>January</v>
      </c>
      <c r="J161">
        <f>YEAR(financials[[#This Row],[Schedule Delivery Date]])</f>
        <v>2026</v>
      </c>
      <c r="K161" s="9">
        <v>9</v>
      </c>
      <c r="L161" s="10">
        <v>46028</v>
      </c>
      <c r="M161" s="10">
        <v>46028</v>
      </c>
    </row>
    <row r="162" spans="1:13" x14ac:dyDescent="0.25">
      <c r="A162" t="s">
        <v>10</v>
      </c>
      <c r="B162">
        <v>161</v>
      </c>
      <c r="C162" t="s">
        <v>11</v>
      </c>
      <c r="D162" s="4" t="s">
        <v>36</v>
      </c>
      <c r="E162" s="1">
        <v>3975.84</v>
      </c>
      <c r="F162">
        <v>2761</v>
      </c>
      <c r="G162" s="1">
        <v>260</v>
      </c>
      <c r="H162" s="1">
        <v>12</v>
      </c>
      <c r="I162" s="4" t="str">
        <f>TEXT(financials[[#This Row],[Schedule Delivery Date]],"mmmm")</f>
        <v>January</v>
      </c>
      <c r="J162">
        <f>YEAR(financials[[#This Row],[Schedule Delivery Date]])</f>
        <v>2026</v>
      </c>
      <c r="K162" s="9">
        <v>9</v>
      </c>
      <c r="L162" s="10">
        <v>46031</v>
      </c>
      <c r="M162" s="10">
        <v>46031</v>
      </c>
    </row>
    <row r="163" spans="1:13" x14ac:dyDescent="0.25">
      <c r="A163" t="s">
        <v>9</v>
      </c>
      <c r="B163">
        <v>162</v>
      </c>
      <c r="C163" t="s">
        <v>52</v>
      </c>
      <c r="D163" s="4" t="s">
        <v>35</v>
      </c>
      <c r="E163" s="1">
        <v>4886</v>
      </c>
      <c r="F163">
        <v>349</v>
      </c>
      <c r="G163" s="1">
        <v>250</v>
      </c>
      <c r="H163" s="1">
        <v>350</v>
      </c>
      <c r="I163" s="4" t="str">
        <f>TEXT(financials[[#This Row],[Schedule Delivery Date]],"mmmm")</f>
        <v>January</v>
      </c>
      <c r="J163">
        <f>YEAR(financials[[#This Row],[Schedule Delivery Date]])</f>
        <v>2026</v>
      </c>
      <c r="K163" s="9">
        <v>9</v>
      </c>
      <c r="L163" s="10">
        <v>46030</v>
      </c>
      <c r="M163" s="10">
        <v>46030</v>
      </c>
    </row>
    <row r="164" spans="1:13" x14ac:dyDescent="0.25">
      <c r="A164" t="s">
        <v>7</v>
      </c>
      <c r="B164">
        <v>163</v>
      </c>
      <c r="C164" t="s">
        <v>11</v>
      </c>
      <c r="D164" s="4" t="s">
        <v>33</v>
      </c>
      <c r="E164" s="1">
        <v>5187</v>
      </c>
      <c r="F164">
        <v>2470</v>
      </c>
      <c r="G164" s="1">
        <v>10</v>
      </c>
      <c r="H164" s="1">
        <v>15</v>
      </c>
      <c r="I164" s="4" t="str">
        <f>TEXT(financials[[#This Row],[Schedule Delivery Date]],"mmmm")</f>
        <v>January</v>
      </c>
      <c r="J164">
        <f>YEAR(financials[[#This Row],[Schedule Delivery Date]])</f>
        <v>2026</v>
      </c>
      <c r="K164" s="9">
        <v>9</v>
      </c>
      <c r="L164" s="10">
        <v>46035</v>
      </c>
      <c r="M164" s="10">
        <v>46035</v>
      </c>
    </row>
    <row r="165" spans="1:13" x14ac:dyDescent="0.25">
      <c r="A165" t="s">
        <v>9</v>
      </c>
      <c r="B165">
        <v>164</v>
      </c>
      <c r="C165" t="s">
        <v>12</v>
      </c>
      <c r="D165" s="4" t="s">
        <v>34</v>
      </c>
      <c r="E165" s="1">
        <v>6171</v>
      </c>
      <c r="F165">
        <v>2805</v>
      </c>
      <c r="G165" s="1">
        <v>120</v>
      </c>
      <c r="H165" s="1">
        <v>20</v>
      </c>
      <c r="I165" s="4" t="str">
        <f>TEXT(financials[[#This Row],[Schedule Delivery Date]],"mmmm")</f>
        <v>December</v>
      </c>
      <c r="J165">
        <f>YEAR(financials[[#This Row],[Schedule Delivery Date]])</f>
        <v>2025</v>
      </c>
      <c r="K165" s="9">
        <v>9</v>
      </c>
      <c r="L165" s="10">
        <v>46012</v>
      </c>
      <c r="M165" s="10">
        <v>46012</v>
      </c>
    </row>
    <row r="166" spans="1:13" x14ac:dyDescent="0.25">
      <c r="A166" t="s">
        <v>6</v>
      </c>
      <c r="B166">
        <v>165</v>
      </c>
      <c r="C166" t="s">
        <v>52</v>
      </c>
      <c r="D166" s="4" t="s">
        <v>32</v>
      </c>
      <c r="E166" s="1">
        <v>7494</v>
      </c>
      <c r="F166">
        <v>2498</v>
      </c>
      <c r="G166" s="1">
        <v>5</v>
      </c>
      <c r="H166" s="1">
        <v>300</v>
      </c>
      <c r="I166" s="4" t="str">
        <f>TEXT(financials[[#This Row],[Schedule Delivery Date]],"mmmm")</f>
        <v>December</v>
      </c>
      <c r="J166">
        <f>YEAR(financials[[#This Row],[Schedule Delivery Date]])</f>
        <v>2025</v>
      </c>
      <c r="K166" s="9">
        <v>9</v>
      </c>
      <c r="L166" s="10">
        <v>46021</v>
      </c>
      <c r="M166" s="10">
        <v>46025</v>
      </c>
    </row>
    <row r="167" spans="1:13" x14ac:dyDescent="0.25">
      <c r="A167" t="s">
        <v>6</v>
      </c>
      <c r="B167">
        <v>166</v>
      </c>
      <c r="C167" t="s">
        <v>12</v>
      </c>
      <c r="D167" s="4" t="s">
        <v>32</v>
      </c>
      <c r="E167" s="1">
        <v>8694</v>
      </c>
      <c r="F167">
        <v>322</v>
      </c>
      <c r="G167" s="1">
        <v>5</v>
      </c>
      <c r="H167" s="1">
        <v>300</v>
      </c>
      <c r="I167" s="4" t="str">
        <f>TEXT(financials[[#This Row],[Schedule Delivery Date]],"mmmm")</f>
        <v>December</v>
      </c>
      <c r="J167">
        <f>YEAR(financials[[#This Row],[Schedule Delivery Date]])</f>
        <v>2025</v>
      </c>
      <c r="K167" s="9">
        <v>9</v>
      </c>
      <c r="L167" s="10">
        <v>46021</v>
      </c>
      <c r="M167" s="10">
        <v>46024</v>
      </c>
    </row>
    <row r="168" spans="1:13" x14ac:dyDescent="0.25">
      <c r="A168" t="s">
        <v>8</v>
      </c>
      <c r="B168">
        <v>167</v>
      </c>
      <c r="C168" t="s">
        <v>13</v>
      </c>
      <c r="D168" s="4" t="s">
        <v>36</v>
      </c>
      <c r="E168" s="1">
        <v>8697.5</v>
      </c>
      <c r="F168">
        <v>994</v>
      </c>
      <c r="G168" s="1">
        <v>260</v>
      </c>
      <c r="H168" s="1">
        <v>125</v>
      </c>
      <c r="I168" s="4" t="str">
        <f>TEXT(financials[[#This Row],[Schedule Delivery Date]],"mmmm")</f>
        <v>December</v>
      </c>
      <c r="J168">
        <f>YEAR(financials[[#This Row],[Schedule Delivery Date]])</f>
        <v>2025</v>
      </c>
      <c r="K168" s="9">
        <v>9</v>
      </c>
      <c r="L168" s="10">
        <v>46022</v>
      </c>
      <c r="M168" s="10">
        <v>46025</v>
      </c>
    </row>
    <row r="169" spans="1:13" x14ac:dyDescent="0.25">
      <c r="A169" t="s">
        <v>9</v>
      </c>
      <c r="B169">
        <v>168</v>
      </c>
      <c r="C169" t="s">
        <v>14</v>
      </c>
      <c r="D169" s="4" t="s">
        <v>32</v>
      </c>
      <c r="E169" s="1">
        <v>12600</v>
      </c>
      <c r="F169">
        <v>720</v>
      </c>
      <c r="G169" s="1">
        <v>5</v>
      </c>
      <c r="H169" s="1">
        <v>350</v>
      </c>
      <c r="I169" s="4" t="str">
        <f>TEXT(financials[[#This Row],[Schedule Delivery Date]],"mmmm")</f>
        <v>December</v>
      </c>
      <c r="J169">
        <f>YEAR(financials[[#This Row],[Schedule Delivery Date]])</f>
        <v>2025</v>
      </c>
      <c r="K169" s="9">
        <v>9</v>
      </c>
      <c r="L169" s="10">
        <v>46013</v>
      </c>
      <c r="M169" s="10">
        <v>46030</v>
      </c>
    </row>
    <row r="170" spans="1:13" x14ac:dyDescent="0.25">
      <c r="A170" t="s">
        <v>8</v>
      </c>
      <c r="B170">
        <v>169</v>
      </c>
      <c r="C170" t="s">
        <v>14</v>
      </c>
      <c r="D170" s="4" t="s">
        <v>36</v>
      </c>
      <c r="E170" s="1">
        <v>13021.25</v>
      </c>
      <c r="F170">
        <v>947</v>
      </c>
      <c r="G170" s="1">
        <v>260</v>
      </c>
      <c r="H170" s="1">
        <v>125</v>
      </c>
      <c r="I170" s="4" t="str">
        <f>TEXT(financials[[#This Row],[Schedule Delivery Date]],"mmmm")</f>
        <v>December</v>
      </c>
      <c r="J170">
        <f>YEAR(financials[[#This Row],[Schedule Delivery Date]])</f>
        <v>2025</v>
      </c>
      <c r="K170" s="9">
        <v>9</v>
      </c>
      <c r="L170" s="10">
        <v>46017</v>
      </c>
      <c r="M170" s="10">
        <v>46035</v>
      </c>
    </row>
    <row r="171" spans="1:13" x14ac:dyDescent="0.25">
      <c r="A171" t="s">
        <v>8</v>
      </c>
      <c r="B171">
        <v>170</v>
      </c>
      <c r="C171" t="s">
        <v>12</v>
      </c>
      <c r="D171" s="4" t="s">
        <v>31</v>
      </c>
      <c r="E171" s="1">
        <v>17902.5</v>
      </c>
      <c r="F171">
        <v>1023</v>
      </c>
      <c r="G171" s="1">
        <v>3</v>
      </c>
      <c r="H171" s="1">
        <v>125</v>
      </c>
      <c r="I171" s="4" t="str">
        <f>TEXT(financials[[#This Row],[Schedule Delivery Date]],"mmmm")</f>
        <v>December</v>
      </c>
      <c r="J171">
        <f>YEAR(financials[[#This Row],[Schedule Delivery Date]])</f>
        <v>2025</v>
      </c>
      <c r="K171" s="9">
        <v>9</v>
      </c>
      <c r="L171" s="10">
        <v>46019</v>
      </c>
      <c r="M171" s="10">
        <v>46025</v>
      </c>
    </row>
    <row r="172" spans="1:13" x14ac:dyDescent="0.25">
      <c r="A172" t="s">
        <v>9</v>
      </c>
      <c r="B172">
        <v>171</v>
      </c>
      <c r="C172" t="s">
        <v>13</v>
      </c>
      <c r="D172" s="4" t="s">
        <v>32</v>
      </c>
      <c r="E172" s="1">
        <v>18868.5</v>
      </c>
      <c r="F172">
        <v>1797</v>
      </c>
      <c r="G172" s="1">
        <v>5</v>
      </c>
      <c r="H172" s="1">
        <v>350</v>
      </c>
      <c r="I172" s="4" t="str">
        <f>TEXT(financials[[#This Row],[Schedule Delivery Date]],"mmmm")</f>
        <v>December</v>
      </c>
      <c r="J172">
        <f>YEAR(financials[[#This Row],[Schedule Delivery Date]])</f>
        <v>2025</v>
      </c>
      <c r="K172" s="9">
        <v>9</v>
      </c>
      <c r="L172" s="10">
        <v>46019</v>
      </c>
      <c r="M172" s="10">
        <v>46025</v>
      </c>
    </row>
    <row r="173" spans="1:13" x14ac:dyDescent="0.25">
      <c r="A173" t="s">
        <v>6</v>
      </c>
      <c r="B173">
        <v>172</v>
      </c>
      <c r="C173" t="s">
        <v>13</v>
      </c>
      <c r="D173" s="4" t="s">
        <v>33</v>
      </c>
      <c r="E173" s="1">
        <v>23583</v>
      </c>
      <c r="F173">
        <v>1123</v>
      </c>
      <c r="G173" s="1">
        <v>10</v>
      </c>
      <c r="H173" s="1">
        <v>300</v>
      </c>
      <c r="I173" s="4" t="str">
        <f>TEXT(financials[[#This Row],[Schedule Delivery Date]],"mmmm")</f>
        <v>December</v>
      </c>
      <c r="J173">
        <f>YEAR(financials[[#This Row],[Schedule Delivery Date]])</f>
        <v>2025</v>
      </c>
      <c r="K173" s="9">
        <v>9</v>
      </c>
      <c r="L173" s="10">
        <v>46019</v>
      </c>
      <c r="M173" s="10">
        <v>46026</v>
      </c>
    </row>
    <row r="174" spans="1:13" x14ac:dyDescent="0.25">
      <c r="A174" t="s">
        <v>9</v>
      </c>
      <c r="B174">
        <v>173</v>
      </c>
      <c r="C174" t="s">
        <v>11</v>
      </c>
      <c r="D174" s="4" t="s">
        <v>35</v>
      </c>
      <c r="E174" s="1">
        <v>26166</v>
      </c>
      <c r="F174">
        <v>623</v>
      </c>
      <c r="G174" s="1">
        <v>250</v>
      </c>
      <c r="H174" s="1">
        <v>350</v>
      </c>
      <c r="I174" s="4" t="str">
        <f>TEXT(financials[[#This Row],[Schedule Delivery Date]],"mmmm")</f>
        <v>December</v>
      </c>
      <c r="J174">
        <f>YEAR(financials[[#This Row],[Schedule Delivery Date]])</f>
        <v>2025</v>
      </c>
      <c r="K174" s="9">
        <v>9</v>
      </c>
      <c r="L174" s="10">
        <v>46019</v>
      </c>
      <c r="M174" s="10">
        <v>46029</v>
      </c>
    </row>
    <row r="175" spans="1:13" x14ac:dyDescent="0.25">
      <c r="A175" t="s">
        <v>6</v>
      </c>
      <c r="B175">
        <v>174</v>
      </c>
      <c r="C175" t="s">
        <v>11</v>
      </c>
      <c r="D175" s="4" t="s">
        <v>32</v>
      </c>
      <c r="E175" s="1">
        <v>30792</v>
      </c>
      <c r="F175">
        <v>1283</v>
      </c>
      <c r="G175" s="1">
        <v>5</v>
      </c>
      <c r="H175" s="1">
        <v>300</v>
      </c>
      <c r="I175" s="4" t="str">
        <f>TEXT(financials[[#This Row],[Schedule Delivery Date]],"mmmm")</f>
        <v>December</v>
      </c>
      <c r="J175">
        <f>YEAR(financials[[#This Row],[Schedule Delivery Date]])</f>
        <v>2025</v>
      </c>
      <c r="K175" s="9">
        <v>9</v>
      </c>
      <c r="L175" s="10">
        <v>46019</v>
      </c>
      <c r="M175" s="10">
        <v>46028</v>
      </c>
    </row>
    <row r="176" spans="1:13" x14ac:dyDescent="0.25">
      <c r="A176" t="s">
        <v>8</v>
      </c>
      <c r="B176">
        <v>175</v>
      </c>
      <c r="C176" t="s">
        <v>11</v>
      </c>
      <c r="D176" s="4" t="s">
        <v>31</v>
      </c>
      <c r="E176" s="1">
        <v>36240</v>
      </c>
      <c r="F176">
        <v>2416</v>
      </c>
      <c r="G176" s="1">
        <v>3</v>
      </c>
      <c r="H176" s="1">
        <v>125</v>
      </c>
      <c r="I176" s="4" t="str">
        <f>TEXT(financials[[#This Row],[Schedule Delivery Date]],"mmmm")</f>
        <v>December</v>
      </c>
      <c r="J176">
        <f>YEAR(financials[[#This Row],[Schedule Delivery Date]])</f>
        <v>2025</v>
      </c>
      <c r="K176" s="9">
        <v>9</v>
      </c>
      <c r="L176" s="10">
        <v>46019</v>
      </c>
      <c r="M176" s="10">
        <v>46026</v>
      </c>
    </row>
    <row r="177" spans="4:13" x14ac:dyDescent="0.25">
      <c r="D177" s="4"/>
      <c r="F177"/>
      <c r="I177" s="4"/>
      <c r="J177" s="9">
        <f>YEAR(financials[[#This Row],[Schedule Delivery Date]])</f>
        <v>1900</v>
      </c>
      <c r="K177" s="4"/>
      <c r="L177" s="4"/>
      <c r="M177" s="4"/>
    </row>
    <row r="178" spans="4:13" x14ac:dyDescent="0.25">
      <c r="D178" s="4"/>
      <c r="F178"/>
      <c r="I178" s="4"/>
      <c r="J178" s="9">
        <f>YEAR(financials[[#This Row],[Schedule Delivery Date]])</f>
        <v>1900</v>
      </c>
      <c r="K178" s="4"/>
      <c r="L178" s="4"/>
      <c r="M178" s="4"/>
    </row>
    <row r="179" spans="4:13" x14ac:dyDescent="0.25">
      <c r="D179" s="4"/>
      <c r="F179"/>
      <c r="I179" s="4"/>
      <c r="J179" s="9">
        <f>YEAR(financials[[#This Row],[Schedule Delivery Date]])</f>
        <v>1900</v>
      </c>
      <c r="K179" s="4"/>
      <c r="L179" s="4"/>
      <c r="M179" s="4"/>
    </row>
    <row r="180" spans="4:13" x14ac:dyDescent="0.25">
      <c r="D180" s="4"/>
      <c r="F180"/>
      <c r="I180" s="4"/>
      <c r="J180" s="9">
        <f>YEAR(financials[[#This Row],[Schedule Delivery Date]])</f>
        <v>1900</v>
      </c>
      <c r="K180" s="4"/>
      <c r="L180" s="4"/>
      <c r="M180" s="4"/>
    </row>
    <row r="181" spans="4:13" x14ac:dyDescent="0.25">
      <c r="D181" s="4"/>
      <c r="F181"/>
      <c r="I181" s="4"/>
      <c r="J181" s="9">
        <f>YEAR(financials[[#This Row],[Schedule Delivery Date]])</f>
        <v>1900</v>
      </c>
      <c r="K181" s="4"/>
      <c r="L181" s="4"/>
      <c r="M181" s="4"/>
    </row>
    <row r="182" spans="4:13" x14ac:dyDescent="0.25">
      <c r="D182" s="4"/>
      <c r="F182"/>
      <c r="I182" s="4"/>
      <c r="J182" s="9">
        <f>YEAR(financials[[#This Row],[Schedule Delivery Date]])</f>
        <v>1900</v>
      </c>
      <c r="K182" s="4"/>
      <c r="L182" s="4"/>
      <c r="M182" s="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906FB-F2C4-4E2E-BF95-95C7A55D581F}">
  <dimension ref="B2:H20"/>
  <sheetViews>
    <sheetView workbookViewId="0">
      <selection activeCell="H20" sqref="H20"/>
    </sheetView>
  </sheetViews>
  <sheetFormatPr defaultRowHeight="15" x14ac:dyDescent="0.25"/>
  <cols>
    <col min="3" max="3" width="10" bestFit="1" customWidth="1"/>
    <col min="7" max="7" width="12.5703125" bestFit="1" customWidth="1"/>
    <col min="8" max="8" width="37.140625" customWidth="1"/>
  </cols>
  <sheetData>
    <row r="2" spans="2:8" x14ac:dyDescent="0.25">
      <c r="G2" t="s">
        <v>37</v>
      </c>
      <c r="H2" t="s">
        <v>40</v>
      </c>
    </row>
    <row r="3" spans="2:8" x14ac:dyDescent="0.25">
      <c r="B3" t="s">
        <v>18</v>
      </c>
      <c r="C3" t="s">
        <v>25</v>
      </c>
    </row>
    <row r="4" spans="2:8" x14ac:dyDescent="0.25">
      <c r="B4" t="s">
        <v>19</v>
      </c>
      <c r="C4" t="s">
        <v>26</v>
      </c>
    </row>
    <row r="5" spans="2:8" x14ac:dyDescent="0.25">
      <c r="B5" t="s">
        <v>20</v>
      </c>
      <c r="C5" t="s">
        <v>27</v>
      </c>
    </row>
    <row r="6" spans="2:8" x14ac:dyDescent="0.25">
      <c r="B6" t="s">
        <v>21</v>
      </c>
      <c r="C6" t="s">
        <v>28</v>
      </c>
      <c r="G6" t="s">
        <v>39</v>
      </c>
      <c r="H6" t="s">
        <v>41</v>
      </c>
    </row>
    <row r="7" spans="2:8" x14ac:dyDescent="0.25">
      <c r="B7" t="s">
        <v>22</v>
      </c>
      <c r="C7" t="s">
        <v>29</v>
      </c>
    </row>
    <row r="8" spans="2:8" x14ac:dyDescent="0.25">
      <c r="B8" t="s">
        <v>23</v>
      </c>
      <c r="C8" t="s">
        <v>30</v>
      </c>
      <c r="G8" t="s">
        <v>2</v>
      </c>
      <c r="H8" t="s">
        <v>42</v>
      </c>
    </row>
    <row r="10" spans="2:8" x14ac:dyDescent="0.25">
      <c r="G10" t="s">
        <v>44</v>
      </c>
      <c r="H10" t="s">
        <v>43</v>
      </c>
    </row>
    <row r="12" spans="2:8" x14ac:dyDescent="0.25">
      <c r="G12" t="s">
        <v>38</v>
      </c>
      <c r="H12" s="7" t="s">
        <v>45</v>
      </c>
    </row>
    <row r="13" spans="2:8" x14ac:dyDescent="0.25">
      <c r="H13" s="7" t="s">
        <v>46</v>
      </c>
    </row>
    <row r="14" spans="2:8" x14ac:dyDescent="0.25">
      <c r="H14" s="7" t="s">
        <v>47</v>
      </c>
    </row>
    <row r="15" spans="2:8" x14ac:dyDescent="0.25">
      <c r="H15" s="7" t="s">
        <v>48</v>
      </c>
    </row>
    <row r="16" spans="2:8" x14ac:dyDescent="0.25">
      <c r="H16" s="7" t="s">
        <v>49</v>
      </c>
    </row>
    <row r="20" spans="8:8" x14ac:dyDescent="0.25">
      <c r="H20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Gonzalez, Jose Eduardo</cp:lastModifiedBy>
  <dcterms:created xsi:type="dcterms:W3CDTF">2014-01-28T02:45:41Z</dcterms:created>
  <dcterms:modified xsi:type="dcterms:W3CDTF">2026-03-14T03:08:13Z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  <property fmtid="{D5CDD505-2E9C-101B-9397-08002B2CF9AE}" pid="4" name="MSIP_Label_4b9664e8-5bac-43dd-9fd7-fd5d06fe239a_Enabled">
    <vt:lpwstr>true</vt:lpwstr>
  </property>
  <property fmtid="{D5CDD505-2E9C-101B-9397-08002B2CF9AE}" pid="5" name="MSIP_Label_4b9664e8-5bac-43dd-9fd7-fd5d06fe239a_SetDate">
    <vt:lpwstr>2026-01-24T03:13:08Z</vt:lpwstr>
  </property>
  <property fmtid="{D5CDD505-2E9C-101B-9397-08002B2CF9AE}" pid="6" name="MSIP_Label_4b9664e8-5bac-43dd-9fd7-fd5d06fe239a_Method">
    <vt:lpwstr>Privileged</vt:lpwstr>
  </property>
  <property fmtid="{D5CDD505-2E9C-101B-9397-08002B2CF9AE}" pid="7" name="MSIP_Label_4b9664e8-5bac-43dd-9fd7-fd5d06fe239a_Name">
    <vt:lpwstr>Non-Corning</vt:lpwstr>
  </property>
  <property fmtid="{D5CDD505-2E9C-101B-9397-08002B2CF9AE}" pid="8" name="MSIP_Label_4b9664e8-5bac-43dd-9fd7-fd5d06fe239a_SiteId">
    <vt:lpwstr>b36a1e05-4a62-442b-83cf-dbdd6d7810e4</vt:lpwstr>
  </property>
  <property fmtid="{D5CDD505-2E9C-101B-9397-08002B2CF9AE}" pid="9" name="MSIP_Label_4b9664e8-5bac-43dd-9fd7-fd5d06fe239a_ActionId">
    <vt:lpwstr>9af647a8-d52d-4431-8665-2dd4f2a10506</vt:lpwstr>
  </property>
  <property fmtid="{D5CDD505-2E9C-101B-9397-08002B2CF9AE}" pid="10" name="MSIP_Label_4b9664e8-5bac-43dd-9fd7-fd5d06fe239a_ContentBits">
    <vt:lpwstr>0</vt:lpwstr>
  </property>
  <property fmtid="{D5CDD505-2E9C-101B-9397-08002B2CF9AE}" pid="11" name="MSIP_Label_4b9664e8-5bac-43dd-9fd7-fd5d06fe239a_Tag">
    <vt:lpwstr>10, 0, 1, 1</vt:lpwstr>
  </property>
</Properties>
</file>